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f282f2a53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Worksheet" sheetId="1" r:id="R132c6de752144831"/>
    <x:sheet xmlns:r="http://schemas.openxmlformats.org/officeDocument/2006/relationships" name="Overlap with vulnerable sites" sheetId="4" r:id="R804f7fcc6d1b47ed"/>
  </x:sheets>
</x:workbook>
</file>

<file path=xl/sharedStrings.xml><?xml version="1.0" encoding="utf-8"?>
<x:sst xmlns:x="http://schemas.openxmlformats.org/spreadsheetml/2006/main">
  <x:si>
    <x:t xml:space="preserve">Criterion A</x:t>
  </x:si>
  <x:si>
    <x:t xml:space="preserve">Criterion B</x:t>
  </x:si>
  <x:si>
    <x:t xml:space="preserve">Mean A</x:t>
  </x:si>
  <x:si>
    <x:t xml:space="preserve">Mean B</x:t>
  </x:si>
  <x:si>
    <x:t xml:space="preserve">Valid sites A</x:t>
  </x:si>
  <x:si>
    <x:t xml:space="preserve">Valid sites B</x:t>
  </x:si>
  <x:si>
    <x:t xml:space="preserve">Hazard A 
Score 7-9 (%)</x:t>
  </x:si>
  <x:si>
    <x:t xml:space="preserve">Hazard B 
Score 7-9 (%)</x:t>
  </x:si>
  <x:si>
    <x:t xml:space="preserve">Broader hazard  coverage</x:t>
  </x:si>
  <x:si>
    <x:t xml:space="preserve">Greater overlap with vulnerable sites</x:t>
  </x:si>
  <x:si>
    <x:t xml:space="preserve">Higher data reliability</x:t>
  </x:si>
  <x:si>
    <x:t xml:space="preserve">Stronger criterion</x:t>
  </x:si>
  <x:si>
    <x:t xml:space="preserve">Pairwise comparison value</x:t>
  </x:si>
  <x:si>
    <x:t xml:space="preserve">Matrix entry A/B</x:t>
  </x:si>
  <x:si>
    <x:t xml:space="preserve">Seismic hazard</x:t>
  </x:si>
  <x:si>
    <x:t xml:space="preserve">Wildfire hazard</x:t>
  </x:si>
  <x:si>
    <x:t xml:space="preserve">A</x:t>
  </x:si>
  <x:si>
    <x:t xml:space="preserve">B</x:t>
  </x:si>
  <x:si>
    <x:t xml:space="preserve">Flood hazard</x:t>
  </x:si>
  <x:si>
    <x:t xml:space="preserve">Similar</x:t>
  </x:si>
  <x:si>
    <x:t xml:space="preserve">Soil erosion</x:t>
  </x:si>
  <x:si>
    <x:t xml:space="preserve">Landslide susceptibility</x:t>
  </x:si>
  <x:si>
    <x:t xml:space="preserve">Asset vulnerability</x:t>
  </x:si>
  <x:si>
    <x:t xml:space="preserve">N/A</x:t>
  </x:si>
  <x:si>
    <x:t xml:space="preserve">30</x:t>
  </x:si>
  <x:si>
    <x:t xml:space="preserve">Hazard</x:t>
  </x:si>
  <x:si>
    <x:t xml:space="preserve">Sites with high hazard</x:t>
  </x:si>
  <x:si>
    <x:t xml:space="preserve">Sites with high hazard and high vulnerability (number)</x:t>
  </x:si>
  <x:si>
    <x:t xml:space="preserve">Sites with high hazard and high vulnerability % </x:t>
  </x:si>
  <x:si>
    <x:t xml:space="preserve">Seismic</x:t>
  </x:si>
  <x:si>
    <x:t xml:space="preserve">Wildfire</x:t>
  </x:si>
  <x:si>
    <x:t xml:space="preserve">Flood</x:t>
  </x:si>
  <x:si>
    <x:t xml:space="preserve">Landslide</x:t>
  </x:si>
  <x:si>
    <x:t xml:space="preserve">Note: Vulnerability overlap is the percentage of sites with both a high hazard score and high vulnerability.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</x:si>
</x:sst>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7">
    <x:font>
      <x:sz val="11"/>
      <x:name val="Carlito"/>
    </x:font>
    <x:font>
      <x:b/>
      <x:sz val="11"/>
      <x:color theme="0"/>
      <x:name val="Calibri"/>
    </x:font>
    <x:font>
      <x:b/>
      <x:sz val="16"/>
      <x:color rgb="FFFFFFFF"/>
      <x:name val="Calibri"/>
    </x:font>
    <x:font>
      <x:sz val="11"/>
      <x:name val="Calibri"/>
    </x:font>
    <x:font>
      <x:b/>
      <x:sz val="11"/>
      <x:color rgb="FFFFFFFF"/>
      <x:name val="Calibri"/>
    </x:font>
    <x:font>
      <x:sz val="11"/>
      <x:name val="Calibri"/>
    </x:font>
    <x:font>
      <x:b/>
      <x:sz val="12"/>
      <x:color theme="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theme="3" tint="0.09998"/>
      </x:patternFill>
    </x:fill>
    <x:fill>
      <x:patternFill patternType="solid">
        <x:fgColor theme="1"/>
      </x:patternFill>
    </x:fill>
    <x:fill>
      <x:patternFill patternType="solid">
        <x:fgColor theme="0"/>
      </x:patternFill>
    </x:fill>
    <x:fill>
      <x:patternFill patternType="solid">
        <x:fgColor theme="0" tint="-0.15"/>
      </x:patternFill>
    </x:fill>
  </x:fills>
  <x:borders count="7">
    <x:border/>
    <x:border>
      <x:top style="thin">
        <x:color rgb="FFD9E2F3"/>
      </x:top>
    </x:border>
    <x:border>
      <x:bottom style="medium">
        <x:color indexed="64"/>
      </x:bottom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top style="thin">
        <x:color indexed="64"/>
      </x:top>
    </x:border>
    <x:border>
      <x:left style="thick">
        <x:color indexed="64"/>
      </x:left>
      <x:right style="thick">
        <x:color indexed="64"/>
      </x:right>
    </x:border>
  </x:borders>
  <x:cellStyleXfs count="1">
    <x:xf numFmtId="0" fontId="0" fillId="0" borderId="0"/>
  </x:cellStyleXfs>
  <x:cellXfs count="34">
    <x:xf numFmtId="0" fontId="0" fillId="0" borderId="0" xfId="0"/>
    <x:xf numFmtId="0" fontId="3" fillId="0" borderId="0" xfId="0" applyFont="1"/>
    <x:xf numFmtId="2" fontId="3" fillId="0" borderId="0" xfId="0" applyNumberFormat="1" applyFont="1"/>
    <x:xf numFmtId="164" fontId="3" fillId="0" borderId="0" xfId="0" applyNumberFormat="1" applyFont="1"/>
    <x:xf numFmtId="0" fontId="4" fillId="2" borderId="1" xfId="0" applyFont="1" applyFill="1" applyBorder="1" applyAlignment="1">
      <x:alignment horizontal="center" vertical="center" wrapText="1"/>
    </x:xf>
    <x:xf numFmtId="2" fontId="3" fillId="0" borderId="2" xfId="0" applyNumberFormat="1" applyFont="1" applyBorder="1"/>
    <x:xf numFmtId="0" fontId="3" fillId="0" borderId="2" xfId="0" applyFont="1" applyBorder="1"/>
    <x:xf numFmtId="164" fontId="3" fillId="0" borderId="2" xfId="0" applyNumberFormat="1" applyFont="1" applyBorder="1"/>
    <x:xf numFmtId="0" fontId="3" fillId="3" borderId="0" xfId="0" applyFont="1" applyFill="1"/>
    <x:xf numFmtId="2" fontId="3" fillId="3" borderId="0" xfId="0" applyNumberFormat="1" applyFont="1" applyFill="1"/>
    <x:xf numFmtId="164" fontId="3" fillId="3" borderId="0" xfId="0" applyNumberFormat="1" applyFont="1" applyFill="1"/>
    <x:xf numFmtId="0" fontId="3" fillId="0" borderId="0" xfId="0" applyFont="1" applyAlignment="1">
      <x:alignment horizontal="right"/>
    </x:xf>
    <x:xf numFmtId="0" fontId="3" fillId="0" borderId="2" xfId="0" applyFont="1" applyBorder="1" applyAlignment="1">
      <x:alignment horizontal="right"/>
    </x:xf>
    <x:xf numFmtId="0" fontId="3" fillId="3" borderId="0" xfId="0" applyFont="1" applyFill="1" applyAlignment="1">
      <x:alignment horizontal="right"/>
    </x:xf>
    <x:xf numFmtId="2" fontId="5" fillId="0" borderId="0" xfId="0" applyNumberFormat="1" applyFont="1"/>
    <x:xf numFmtId="2" fontId="5" fillId="3" borderId="0" xfId="0" applyNumberFormat="1" applyFont="1" applyFill="1"/>
    <x:xf numFmtId="0" fontId="0" fillId="0" borderId="0" xfId="0" applyAlignment="1">
      <x:alignment horizontal="left" vertical="top" wrapText="1"/>
    </x:xf>
    <x:xf numFmtId="0" fontId="1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center"/>
    </x:xf>
    <x:xf numFmtId="0" fontId="6" fillId="2" borderId="3" xfId="0" applyFont="1" applyFill="1" applyBorder="1" applyAlignment="1">
      <x:alignment vertical="center" wrapText="1"/>
    </x:xf>
    <x:xf numFmtId="0" fontId="6" fillId="2" borderId="4" xfId="0" applyFont="1" applyFill="1" applyBorder="1" applyAlignment="1">
      <x:alignment vertical="center" wrapText="1"/>
    </x:xf>
    <x:xf numFmtId="0" fontId="0" fillId="0" borderId="5" xfId="0" applyBorder="1"/>
    <x:xf numFmtId="0" fontId="3" fillId="0" borderId="0" xfId="0" applyFont="1" applyAlignment="1">
      <x:alignment vertical="center" wrapText="1"/>
    </x:xf>
    <x:xf numFmtId="0" fontId="3" fillId="3" borderId="6" xfId="0" applyFont="1" applyFill="1" applyBorder="1"/>
    <x:xf numFmtId="0" fontId="2" fillId="2" borderId="0" xfId="0" applyFont="1" applyFill="1" applyAlignment="1">
      <x:alignment horizontal="center" vertical="center"/>
    </x:xf>
    <x:xf numFmtId="0" fontId="0" fillId="0" borderId="0" xfId="0" applyAlignment="1">
      <x:alignment horizontal="left" vertical="top" wrapText="1"/>
    </x:xf>
    <x:xf numFmtId="0" fontId="0" fillId="0" borderId="0" xfId="0" applyAlignment="1">
      <x:alignment wrapText="1"/>
    </x:xf>
    <x:xf numFmtId="0" fontId="3" fillId="4" borderId="0" xfId="0" applyFont="1" applyFill="1"/>
    <x:xf numFmtId="0" fontId="3" fillId="5" borderId="0" xfId="0" applyFont="1" applyFill="1"/>
    <x:xf numFmtId="0" fontId="3" fillId="5" borderId="2" xfId="0" applyFont="1" applyFill="1" applyBorder="1"/>
    <x:xf numFmtId="0" fontId="3" fillId="0" borderId="0" xfId="0" applyFont="1" applyFill="1" applyAlignment="1">
      <x:alignment vertical="center" wrapText="1"/>
    </x:xf>
    <x:xf numFmtId="0" fontId="3" fillId="5" borderId="0" xfId="0" applyFont="1" applyFill="1" applyAlignment="1">
      <x:alignment horizontal="center"/>
    </x:xf>
    <x:xf numFmtId="0" fontId="3" fillId="5" borderId="0" xfId="0" applyFont="1" applyFill="1" applyAlignment="1">
      <x:alignment vertical="center" wrapText="1"/>
    </x:xf>
    <x:xf numFmtId="0" fontId="3" fillId="0" borderId="0" xfId="0" applyFont="1" applyFill="1" applyAlignment="1">
      <x:alignment horizontal="center"/>
    </x:xf>
  </x:cellXfs>
  <x:cellStyles count="1">
    <x:cellStyle name="Normal" xfId="0"/>
  </x:cellStyles>
  <x:dxfs count="23">
    <x:dxf>
      <x:font>
        <x:u val="none"/>
        <x:sz val="11"/>
        <x:color auto="1"/>
        <x:name val="Calibri"/>
        <x:family val="2"/>
        <x:scheme val="minor"/>
      </x:font>
      <x:numFmt numFmtId="2" formatCode="0.00"/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 patternType="solid">
          <x:bgColor indexed="65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4"/>
        </x:patternFill>
      </x:fill>
    </x:dxf>
    <x:dxf>
      <x:font>
        <x:u val="none"/>
        <x:sz val="11"/>
        <x:color auto="1"/>
        <x:name val="Calibri"/>
        <x:family val="2"/>
        <x:scheme val="minor"/>
      </x:font>
      <x:fill>
        <x:patternFill>
          <x:bgColor indexed="64"/>
        </x:patternFill>
      </x:fill>
    </x:dxf>
    <x:dxf>
      <x:font>
        <x:b/>
        <x:u val="none"/>
        <x:sz val="12"/>
        <x:color theme="0"/>
        <x:name val="Calibri"/>
        <x:family val="2"/>
        <x:scheme val="minor"/>
      </x:font>
      <x:fill>
        <x:patternFill>
          <x:bgColor indexed="64"/>
        </x:patternFill>
      </x:fill>
    </x:dxf>
    <x:dxf>
      <x:font>
        <x:u val="none"/>
        <x:sz val="11"/>
        <x:color auto="1"/>
        <x:name val="Calibri"/>
        <x:family val="2"/>
        <x:scheme val="major"/>
      </x:font>
      <x:numFmt numFmtId="2" formatCode="0.00"/>
      <x:fill>
        <x:patternFill patternType="solid">
          <x:bgColor theme="0"/>
        </x:patternFill>
      </x:fill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  <x:fill>
        <x:patternFill>
          <x:bgColor indexed="6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c6113501b4ecc" /><Relationship Type="http://schemas.openxmlformats.org/officeDocument/2006/relationships/theme" Target="/xl/theme/theme1.xml" Id="Rcf4bbcae79974ed6" /><Relationship Type="http://schemas.openxmlformats.org/officeDocument/2006/relationships/sharedStrings" Target="/xl/sharedStrings.xml" Id="Ree1d3f34b8074fc3" /><Relationship Type="http://schemas.openxmlformats.org/officeDocument/2006/relationships/worksheet" Target="/xl/worksheets/sheet1.xml" Id="R132c6de752144831" /><Relationship Type="http://schemas.openxmlformats.org/officeDocument/2006/relationships/worksheet" Target="/xl/worksheets/sheet2.xml" Id="R804f7fcc6d1b47ed" /></Relationships>
</file>

<file path=xl/tables/table1.xml><?xml version="1.0" encoding="utf-8"?>
<x:table xmlns:x="http://schemas.openxmlformats.org/spreadsheetml/2006/main" id="2" name="PairwiseEvidenceTable" displayName="PairwiseEvidenceTable" ref="A3:N19" dataDxfId="21">
  <x:tableColumns count="14">
    <x:tableColumn id="2" name="Criterion A" dataDxfId="19"/>
    <x:tableColumn id="3" name="Criterion B" dataDxfId="18"/>
    <x:tableColumn id="4" name="Mean A" dataDxfId="17"/>
    <x:tableColumn id="5" name="Mean B" dataDxfId="16"/>
    <x:tableColumn id="6" name="Valid sites A" dataDxfId="15"/>
    <x:tableColumn id="7" name="Valid sites B" dataDxfId="14"/>
    <x:tableColumn id="8" name="Hazard A _x000a_Score 7-9 (%)" dataDxfId="13"/>
    <x:tableColumn id="9" name="Hazard B _x000a_Score 7-9 (%)" dataDxfId="12"/>
    <x:tableColumn id="10" name="Broader hazard  coverage" dataDxfId="11"/>
    <x:tableColumn id="12" name="Greater overlap with vulnerable sites" dataDxfId="10"/>
    <x:tableColumn id="13" name="Higher data reliability" dataDxfId="9"/>
    <x:tableColumn id="14" name="Stronger criterion" dataDxfId="8"/>
    <x:tableColumn id="15" name="Pairwise comparison value" dataDxfId="7"/>
    <x:tableColumn id="16" name="Matrix entry A/B" dataDxfId="6"/>
  </x:tableColumns>
  <x:tableStyleInfo name="TableStyleMedium1" showFirstColumn="0" showLastColumn="0" showRowStripes="1" showColumnStripes="0"/>
</x:table>
</file>

<file path=xl/tables/table2.xml><?xml version="1.0" encoding="utf-8"?>
<x:table xmlns:x="http://schemas.openxmlformats.org/spreadsheetml/2006/main" id="1" name="Table1" displayName="Table1" ref="A1:E7" totalsRowShown="0">
  <x:autoFilter ref="A1:E7">
    <x:filterColumn colId="0" hiddenButton="1"/>
    <x:filterColumn colId="1" hiddenButton="1"/>
    <x:filterColumn colId="2" hiddenButton="1"/>
    <x:filterColumn colId="3" hiddenButton="1"/>
    <x:filterColumn colId="4" hiddenButton="1"/>
  </x:autoFilter>
  <x:tableColumns count="5">
    <x:tableColumn id="1" name="Cluster" dataDxfId="4"/>
    <x:tableColumn id="2" name="Hazard" dataDxfId="3"/>
    <x:tableColumn id="3" name="Sites with high hazard" dataDxfId="2"/>
    <x:tableColumn id="4" name="Sites with high hazard and high vulnerability (number)" dataDxfId="1"/>
    <x:tableColumn id="5" name="Sites with high hazard and high vulnerability % " dataDxfId="0">
      <x:calculatedColumnFormula>(D2/C2)*100</x:calculatedColumnFormula>
    </x:tableColumn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611ad08aac4e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62edbd7ec64a5b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20.59765625" customWidth="1"/>
    <x:col min="2" max="2" width="21.09765625" customWidth="1"/>
    <x:col min="3" max="3" width="8.59765625" customWidth="1"/>
    <x:col min="4" max="4" width="7.796875" customWidth="1"/>
    <x:col min="5" max="5" width="9" customWidth="1"/>
    <x:col min="6" max="6" width="9.5" customWidth="1"/>
    <x:col min="7" max="7" width="10.69921875" customWidth="1"/>
    <x:col min="8" max="8" width="11.5" customWidth="1"/>
    <x:col min="9" max="9" width="9.19921875" customWidth="1"/>
    <x:col min="10" max="10" width="12.59765625" customWidth="1"/>
    <x:col min="11" max="11" width="10.5" customWidth="1"/>
    <x:col min="12" max="12" width="9.5" customWidth="1"/>
    <x:col min="13" max="13" width="9.59765625" customWidth="1"/>
    <x:col min="14" max="14" width="10.59765625" customWidth="1"/>
  </x:cols>
  <x:sheetData>
    <x:row r="1" ht="24" customHeight="1">
      <x:c r="A1" s="24"/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 ht="14.399999618530273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53.400001525878906" customHeight="1">
      <x:c r="A3" s="4" t="s">
        <x:v>0</x:v>
      </x:c>
      <x:c r="B3" s="4" t="s">
        <x:v>1</x:v>
      </x:c>
      <x:c r="C3" s="4" t="s">
        <x:v>2</x:v>
      </x:c>
      <x:c r="D3" s="4" t="s">
        <x:v>3</x:v>
      </x:c>
      <x:c r="E3" s="4" t="s">
        <x:v>4</x:v>
      </x:c>
      <x:c r="F3" s="4" t="s">
        <x:v>5</x:v>
      </x:c>
      <x:c r="G3" s="4" t="s">
        <x:v>6</x:v>
      </x:c>
      <x:c r="H3" s="4" t="s">
        <x:v>7</x:v>
      </x:c>
      <x:c r="I3" s="4" t="s">
        <x:v>8</x:v>
      </x:c>
      <x:c r="J3" s="4" t="s">
        <x:v>9</x:v>
      </x:c>
      <x:c r="K3" s="4" t="s">
        <x:v>10</x:v>
      </x:c>
      <x:c r="L3" s="4" t="s">
        <x:v>11</x:v>
      </x:c>
      <x:c r="M3" s="4" t="s">
        <x:v>12</x:v>
      </x:c>
      <x:c r="N3" s="4" t="s">
        <x:v>13</x:v>
      </x:c>
    </x:row>
    <x:row r="4" ht="14.399999618530273">
      <x:c r="A4" s="28" t="s">
        <x:v>14</x:v>
      </x:c>
      <x:c r="B4" s="28" t="s">
        <x:v>15</x:v>
      </x:c>
      <x:c r="C4" s="2" t="n">
        <x:v>5.072</x:v>
      </x:c>
      <x:c r="D4" s="2" t="n">
        <x:v>4.52</x:v>
      </x:c>
      <x:c r="E4" s="1" t="n">
        <x:v>250</x:v>
      </x:c>
      <x:c r="F4" s="1" t="n">
        <x:v>250</x:v>
      </x:c>
      <x:c r="G4" s="3" t="n">
        <x:v>0.268</x:v>
      </x:c>
      <x:c r="H4" s="3" t="n">
        <x:v>0.328</x:v>
      </x:c>
      <x:c r="I4" s="11" t="s">
        <x:v>16</x:v>
      </x:c>
      <x:c r="J4" s="11" t="s">
        <x:v>17</x:v>
      </x:c>
      <x:c r="K4" s="11" t="s">
        <x:v>16</x:v>
      </x:c>
      <x:c r="L4" s="11" t="str">
        <x:v>Similar</x:v>
      </x:c>
      <x:c r="M4" s="1" t="n">
        <x:v>1</x:v>
      </x:c>
      <x:c r="N4" s="14" t="n">
        <x:v>1</x:v>
      </x:c>
    </x:row>
    <x:row r="5" ht="14.399999618530273">
      <x:c r="A5" s="27" t="s">
        <x:v>14</x:v>
      </x:c>
      <x:c r="B5" s="27" t="s">
        <x:v>18</x:v>
      </x:c>
      <x:c r="C5" s="2" t="n">
        <x:v>5.072</x:v>
      </x:c>
      <x:c r="D5" s="2" t="n">
        <x:v>1.84</x:v>
      </x:c>
      <x:c r="E5" s="1" t="n">
        <x:v>250</x:v>
      </x:c>
      <x:c r="F5" s="1" t="n">
        <x:v>250</x:v>
      </x:c>
      <x:c r="G5" s="3" t="n">
        <x:v>0.268</x:v>
      </x:c>
      <x:c r="H5" s="3" t="n">
        <x:v>0.048</x:v>
      </x:c>
      <x:c r="I5" s="11" t="s">
        <x:v>16</x:v>
      </x:c>
      <x:c r="J5" s="11" t="s">
        <x:v>16</x:v>
      </x:c>
      <x:c r="K5" s="11" t="s">
        <x:v>19</x:v>
      </x:c>
      <x:c r="L5" s="11" t="str">
        <x:v>A</x:v>
      </x:c>
      <x:c r="M5" s="1" t="n">
        <x:v>7</x:v>
      </x:c>
      <x:c r="N5" s="14" t="n">
        <x:v>7</x:v>
      </x:c>
    </x:row>
    <x:row r="6" ht="14.399999618530273">
      <x:c r="A6" s="28" t="s">
        <x:v>14</x:v>
      </x:c>
      <x:c r="B6" s="28" t="s">
        <x:v>20</x:v>
      </x:c>
      <x:c r="C6" s="2" t="n">
        <x:v>5.072</x:v>
      </x:c>
      <x:c r="D6" s="2" t="n">
        <x:v>2.965318</x:v>
      </x:c>
      <x:c r="E6" s="1" t="n">
        <x:v>250</x:v>
      </x:c>
      <x:c r="F6" s="1" t="n">
        <x:v>173</x:v>
      </x:c>
      <x:c r="G6" s="3" t="n">
        <x:v>0.268</x:v>
      </x:c>
      <x:c r="H6" s="3" t="n">
        <x:v>0.08670520231213873</x:v>
      </x:c>
      <x:c r="I6" s="11" t="s">
        <x:v>16</x:v>
      </x:c>
      <x:c r="J6" s="11" t="s">
        <x:v>17</x:v>
      </x:c>
      <x:c r="K6" s="11" t="s">
        <x:v>16</x:v>
      </x:c>
      <x:c r="L6" s="11" t="str">
        <x:v>A</x:v>
      </x:c>
      <x:c r="M6" s="1" t="n">
        <x:v>5</x:v>
      </x:c>
      <x:c r="N6" s="14" t="n">
        <x:v>5</x:v>
      </x:c>
    </x:row>
    <x:row r="7" ht="14.399999618530273">
      <x:c r="A7" s="27" t="s">
        <x:v>14</x:v>
      </x:c>
      <x:c r="B7" s="27" t="s">
        <x:v>21</x:v>
      </x:c>
      <x:c r="C7" s="2" t="n">
        <x:v>5.072</x:v>
      </x:c>
      <x:c r="D7" s="2" t="n">
        <x:v>4.266376</x:v>
      </x:c>
      <x:c r="E7" s="1" t="n">
        <x:v>250</x:v>
      </x:c>
      <x:c r="F7" s="1" t="n">
        <x:v>229</x:v>
      </x:c>
      <x:c r="G7" s="3" t="n">
        <x:v>0.268</x:v>
      </x:c>
      <x:c r="H7" s="3" t="n">
        <x:v>0.3231441048034934</x:v>
      </x:c>
      <x:c r="I7" s="11" t="s">
        <x:v>19</x:v>
      </x:c>
      <x:c r="J7" s="11" t="s">
        <x:v>17</x:v>
      </x:c>
      <x:c r="K7" s="11" t="s">
        <x:v>16</x:v>
      </x:c>
      <x:c r="L7" s="11" t="str">
        <x:v>Similar</x:v>
      </x:c>
      <x:c r="M7" s="1" t="n">
        <x:v>1</x:v>
      </x:c>
      <x:c r="N7" s="14" t="n">
        <x:v>1</x:v>
      </x:c>
    </x:row>
    <x:row r="8" ht="14.399999618530273">
      <x:c r="A8" s="28" t="s">
        <x:v>14</x:v>
      </x:c>
      <x:c r="B8" s="28" t="s">
        <x:v>22</x:v>
      </x:c>
      <x:c r="C8" s="2" t="n">
        <x:v>5.072</x:v>
      </x:c>
      <x:c r="D8" s="2" t="n">
        <x:v>3.744</x:v>
      </x:c>
      <x:c r="E8" s="1" t="n">
        <x:v>250</x:v>
      </x:c>
      <x:c r="F8" s="1" t="n">
        <x:v>250</x:v>
      </x:c>
      <x:c r="G8" s="3" t="n">
        <x:v>0.268</x:v>
      </x:c>
      <x:c r="H8" s="3" t="n">
        <x:v>0.28</x:v>
      </x:c>
      <x:c r="I8" s="11" t="s">
        <x:v>19</x:v>
      </x:c>
      <x:c r="J8" s="11" t="s">
        <x:v>23</x:v>
      </x:c>
      <x:c r="K8" s="11" t="s">
        <x:v>16</x:v>
      </x:c>
      <x:c r="L8" s="11" t="str">
        <x:v>A</x:v>
      </x:c>
      <x:c r="M8" s="1" t="n">
        <x:v>3</x:v>
      </x:c>
      <x:c r="N8" s="14" t="n">
        <x:v>3</x:v>
      </x:c>
    </x:row>
    <x:row r="9" ht="14.399999618530273">
      <x:c r="A9" s="27" t="s">
        <x:v>15</x:v>
      </x:c>
      <x:c r="B9" s="27" t="s">
        <x:v>18</x:v>
      </x:c>
      <x:c r="C9" s="2" t="n">
        <x:v>4.52</x:v>
      </x:c>
      <x:c r="D9" s="2" t="n">
        <x:v>1.84</x:v>
      </x:c>
      <x:c r="E9" s="1" t="n">
        <x:v>250</x:v>
      </x:c>
      <x:c r="F9" s="1" t="n">
        <x:v>250</x:v>
      </x:c>
      <x:c r="G9" s="3" t="n">
        <x:v>0.328</x:v>
      </x:c>
      <x:c r="H9" s="3" t="n">
        <x:v>0.048</x:v>
      </x:c>
      <x:c r="I9" s="11" t="s">
        <x:v>16</x:v>
      </x:c>
      <x:c r="J9" s="11" t="s">
        <x:v>16</x:v>
      </x:c>
      <x:c r="K9" s="11" t="s">
        <x:v>17</x:v>
      </x:c>
      <x:c r="L9" s="11" t="str">
        <x:v>A</x:v>
      </x:c>
      <x:c r="M9" s="1" t="n">
        <x:v>5</x:v>
      </x:c>
      <x:c r="N9" s="14" t="n">
        <x:v>5</x:v>
      </x:c>
    </x:row>
    <x:row r="10" ht="14.399999618530273">
      <x:c r="A10" s="28" t="s">
        <x:v>15</x:v>
      </x:c>
      <x:c r="B10" s="28" t="s">
        <x:v>20</x:v>
      </x:c>
      <x:c r="C10" s="2" t="n">
        <x:v>4.52</x:v>
      </x:c>
      <x:c r="D10" s="2" t="n">
        <x:v>2.965318</x:v>
      </x:c>
      <x:c r="E10" s="1" t="n">
        <x:v>250</x:v>
      </x:c>
      <x:c r="F10" s="1" t="n">
        <x:v>173</x:v>
      </x:c>
      <x:c r="G10" s="3" t="n">
        <x:v>0.328</x:v>
      </x:c>
      <x:c r="H10" s="3" t="n">
        <x:v>0.08670520231213873</x:v>
      </x:c>
      <x:c r="I10" s="11" t="s">
        <x:v>16</x:v>
      </x:c>
      <x:c r="J10" s="11" t="s">
        <x:v>16</x:v>
      </x:c>
      <x:c r="K10" s="11" t="s">
        <x:v>16</x:v>
      </x:c>
      <x:c r="L10" s="11" t="str">
        <x:v>A</x:v>
      </x:c>
      <x:c r="M10" s="1" t="n">
        <x:v>5</x:v>
      </x:c>
      <x:c r="N10" s="14" t="n">
        <x:v>5</x:v>
      </x:c>
    </x:row>
    <x:row r="11" ht="14.399999618530273">
      <x:c r="A11" s="27" t="s">
        <x:v>15</x:v>
      </x:c>
      <x:c r="B11" s="27" t="s">
        <x:v>21</x:v>
      </x:c>
      <x:c r="C11" s="2" t="n">
        <x:v>4.52</x:v>
      </x:c>
      <x:c r="D11" s="2" t="n">
        <x:v>4.266376</x:v>
      </x:c>
      <x:c r="E11" s="1" t="n">
        <x:v>250</x:v>
      </x:c>
      <x:c r="F11" s="1" t="n">
        <x:v>229</x:v>
      </x:c>
      <x:c r="G11" s="3" t="n">
        <x:v>0.328</x:v>
      </x:c>
      <x:c r="H11" s="3" t="n">
        <x:v>0.3231441048034934</x:v>
      </x:c>
      <x:c r="I11" s="11" t="s">
        <x:v>17</x:v>
      </x:c>
      <x:c r="J11" s="11" t="s">
        <x:v>16</x:v>
      </x:c>
      <x:c r="K11" s="11" t="s">
        <x:v>19</x:v>
      </x:c>
      <x:c r="L11" s="11" t="str">
        <x:v>Similar</x:v>
      </x:c>
      <x:c r="M11" s="1" t="n">
        <x:v>1</x:v>
      </x:c>
      <x:c r="N11" s="14" t="n">
        <x:v>1</x:v>
      </x:c>
    </x:row>
    <x:row r="12" ht="14.399999618530273">
      <x:c r="A12" s="28" t="s">
        <x:v>15</x:v>
      </x:c>
      <x:c r="B12" s="28" t="s">
        <x:v>22</x:v>
      </x:c>
      <x:c r="C12" s="2" t="n">
        <x:v>4.52</x:v>
      </x:c>
      <x:c r="D12" s="2" t="n">
        <x:v>3.744</x:v>
      </x:c>
      <x:c r="E12" s="1" t="n">
        <x:v>250</x:v>
      </x:c>
      <x:c r="F12" s="1" t="n">
        <x:v>250</x:v>
      </x:c>
      <x:c r="G12" s="3" t="n">
        <x:v>0.328</x:v>
      </x:c>
      <x:c r="H12" s="3" t="n">
        <x:v>0.28</x:v>
      </x:c>
      <x:c r="I12" s="11" t="s">
        <x:v>17</x:v>
      </x:c>
      <x:c r="J12" s="11" t="s">
        <x:v>23</x:v>
      </x:c>
      <x:c r="K12" s="11" t="s">
        <x:v>19</x:v>
      </x:c>
      <x:c r="L12" s="11" t="str">
        <x:v>A</x:v>
      </x:c>
      <x:c r="M12" s="1" t="n">
        <x:v>3</x:v>
      </x:c>
      <x:c r="N12" s="14" t="n">
        <x:v>3</x:v>
      </x:c>
    </x:row>
    <x:row r="13" ht="14.399999618530273">
      <x:c r="A13" s="27" t="s">
        <x:v>18</x:v>
      </x:c>
      <x:c r="B13" s="27" t="s">
        <x:v>20</x:v>
      </x:c>
      <x:c r="C13" s="2" t="n">
        <x:v>1.84</x:v>
      </x:c>
      <x:c r="D13" s="2" t="n">
        <x:v>2.965318</x:v>
      </x:c>
      <x:c r="E13" s="1" t="n">
        <x:v>250</x:v>
      </x:c>
      <x:c r="F13" s="1" t="n">
        <x:v>173</x:v>
      </x:c>
      <x:c r="G13" s="3" t="n">
        <x:v>0.048</x:v>
      </x:c>
      <x:c r="H13" s="3" t="n">
        <x:v>0.08670520231213873</x:v>
      </x:c>
      <x:c r="I13" s="11" t="s">
        <x:v>17</x:v>
      </x:c>
      <x:c r="J13" s="11" t="s">
        <x:v>17</x:v>
      </x:c>
      <x:c r="K13" s="11" t="s">
        <x:v>16</x:v>
      </x:c>
      <x:c r="L13" s="11" t="str">
        <x:v>B</x:v>
      </x:c>
      <x:c r="M13" s="1" t="n">
        <x:v>3</x:v>
      </x:c>
      <x:c r="N13" s="14" t="n">
        <x:v>0.333333333333</x:v>
      </x:c>
    </x:row>
    <x:row r="14" ht="14.399999618530273">
      <x:c r="A14" s="28" t="s">
        <x:v>18</x:v>
      </x:c>
      <x:c r="B14" s="28" t="s">
        <x:v>21</x:v>
      </x:c>
      <x:c r="C14" s="2" t="n">
        <x:v>1.84</x:v>
      </x:c>
      <x:c r="D14" s="2" t="n">
        <x:v>4.266376</x:v>
      </x:c>
      <x:c r="E14" s="1" t="n">
        <x:v>250</x:v>
      </x:c>
      <x:c r="F14" s="1" t="n">
        <x:v>229</x:v>
      </x:c>
      <x:c r="G14" s="3" t="n">
        <x:v>0.048</x:v>
      </x:c>
      <x:c r="H14" s="3" t="n">
        <x:v>0.3231441048034934</x:v>
      </x:c>
      <x:c r="I14" s="11" t="s">
        <x:v>17</x:v>
      </x:c>
      <x:c r="J14" s="11" t="s">
        <x:v>17</x:v>
      </x:c>
      <x:c r="K14" s="11" t="s">
        <x:v>16</x:v>
      </x:c>
      <x:c r="L14" s="11" t="str">
        <x:v>B</x:v>
      </x:c>
      <x:c r="M14" s="1" t="n">
        <x:v>5</x:v>
      </x:c>
      <x:c r="N14" s="14" t="n">
        <x:v>0.2</x:v>
      </x:c>
    </x:row>
    <x:row r="15" ht="14.399999618530273">
      <x:c r="A15" s="27" t="s">
        <x:v>18</x:v>
      </x:c>
      <x:c r="B15" s="27" t="s">
        <x:v>22</x:v>
      </x:c>
      <x:c r="C15" s="2" t="n">
        <x:v>1.84</x:v>
      </x:c>
      <x:c r="D15" s="2" t="n">
        <x:v>3.744</x:v>
      </x:c>
      <x:c r="E15" s="1" t="n">
        <x:v>250</x:v>
      </x:c>
      <x:c r="F15" s="1" t="n">
        <x:v>250</x:v>
      </x:c>
      <x:c r="G15" s="3" t="n">
        <x:v>0.048</x:v>
      </x:c>
      <x:c r="H15" s="3" t="n">
        <x:v>0.28</x:v>
      </x:c>
      <x:c r="I15" s="11" t="s">
        <x:v>17</x:v>
      </x:c>
      <x:c r="J15" s="11" t="s">
        <x:v>23</x:v>
      </x:c>
      <x:c r="K15" s="11" t="s">
        <x:v>16</x:v>
      </x:c>
      <x:c r="L15" s="11" t="str">
        <x:v>B</x:v>
      </x:c>
      <x:c r="M15" s="1" t="n">
        <x:v>3</x:v>
      </x:c>
      <x:c r="N15" s="14" t="n">
        <x:v>0.333333333333</x:v>
      </x:c>
    </x:row>
    <x:row r="16" ht="14.399999618530273">
      <x:c r="A16" s="28" t="s">
        <x:v>20</x:v>
      </x:c>
      <x:c r="B16" s="28" t="s">
        <x:v>21</x:v>
      </x:c>
      <x:c r="C16" s="2" t="n">
        <x:v>2.965318</x:v>
      </x:c>
      <x:c r="D16" s="2" t="n">
        <x:v>4.266376</x:v>
      </x:c>
      <x:c r="E16" s="1" t="n">
        <x:v>173</x:v>
      </x:c>
      <x:c r="F16" s="1" t="n">
        <x:v>229</x:v>
      </x:c>
      <x:c r="G16" s="3" t="n">
        <x:v>0.08670520231213873</x:v>
      </x:c>
      <x:c r="H16" s="3" t="n">
        <x:v>0.3231441048034934</x:v>
      </x:c>
      <x:c r="I16" s="11" t="s">
        <x:v>17</x:v>
      </x:c>
      <x:c r="J16" s="11" t="s">
        <x:v>16</x:v>
      </x:c>
      <x:c r="K16" s="11" t="s">
        <x:v>17</x:v>
      </x:c>
      <x:c r="L16" s="11" t="str">
        <x:v>B</x:v>
      </x:c>
      <x:c r="M16" s="1" t="n">
        <x:v>5</x:v>
      </x:c>
      <x:c r="N16" s="14" t="n">
        <x:v>0.2</x:v>
      </x:c>
    </x:row>
    <x:row r="17" ht="14.399999618530273">
      <x:c r="A17" s="27" t="s">
        <x:v>20</x:v>
      </x:c>
      <x:c r="B17" s="27" t="s">
        <x:v>22</x:v>
      </x:c>
      <x:c r="C17" s="2" t="n">
        <x:v>2.965318</x:v>
      </x:c>
      <x:c r="D17" s="2" t="n">
        <x:v>3.744</x:v>
      </x:c>
      <x:c r="E17" s="1" t="n">
        <x:v>173</x:v>
      </x:c>
      <x:c r="F17" s="1" t="n">
        <x:v>250</x:v>
      </x:c>
      <x:c r="G17" s="3" t="n">
        <x:v>0.08670520231213873</x:v>
      </x:c>
      <x:c r="H17" s="3" t="n">
        <x:v>0.28</x:v>
      </x:c>
      <x:c r="I17" s="11" t="s">
        <x:v>17</x:v>
      </x:c>
      <x:c r="J17" s="11" t="s">
        <x:v>23</x:v>
      </x:c>
      <x:c r="K17" s="11" t="s">
        <x:v>17</x:v>
      </x:c>
      <x:c r="L17" s="11" t="str">
        <x:v>B</x:v>
      </x:c>
      <x:c r="M17" s="1" t="n">
        <x:v>5</x:v>
      </x:c>
      <x:c r="N17" s="14" t="n">
        <x:v>0.2</x:v>
      </x:c>
    </x:row>
    <x:row r="18" ht="15">
      <x:c r="A18" s="29" t="s">
        <x:v>21</x:v>
      </x:c>
      <x:c r="B18" s="29" t="s">
        <x:v>22</x:v>
      </x:c>
      <x:c r="C18" s="5" t="n">
        <x:v>4.266376</x:v>
      </x:c>
      <x:c r="D18" s="5" t="n">
        <x:v>3.744</x:v>
      </x:c>
      <x:c r="E18" s="6" t="n">
        <x:v>229</x:v>
      </x:c>
      <x:c r="F18" s="6" t="n">
        <x:v>250</x:v>
      </x:c>
      <x:c r="G18" s="7" t="n">
        <x:v>0.3231441048034934</x:v>
      </x:c>
      <x:c r="H18" s="7" t="n">
        <x:v>0.28</x:v>
      </x:c>
      <x:c r="I18" s="12" t="s">
        <x:v>19</x:v>
      </x:c>
      <x:c r="J18" s="12" t="s">
        <x:v>23</x:v>
      </x:c>
      <x:c r="K18" s="12" t="s">
        <x:v>19</x:v>
      </x:c>
      <x:c r="L18" s="12" t="str">
        <x:v>A</x:v>
      </x:c>
      <x:c r="M18" s="6" t="n">
        <x:v>3</x:v>
      </x:c>
      <x:c r="N18" s="14" t="n">
        <x:v>3</x:v>
      </x:c>
    </x:row>
    <x:row r="19" ht="6.599999904632568" customHeight="1">
      <x:c r="A19" s="8"/>
      <x:c r="B19" s="8"/>
      <x:c r="C19" s="9"/>
      <x:c r="D19" s="9"/>
      <x:c r="E19" s="8"/>
      <x:c r="F19" s="8"/>
      <x:c r="G19" s="10"/>
      <x:c r="H19" s="10"/>
      <x:c r="I19" s="13"/>
      <x:c r="J19" s="13"/>
      <x:c r="K19" s="13"/>
      <x:c r="L19" s="13"/>
      <x:c r="M19" s="8"/>
      <x:c r="N19" s="15" t="s">
        <x:v>24</x:v>
      </x:c>
    </x:row>
    <x:row r="20" ht="14.399999618530273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s="16" customFormat="1" ht="44.400001525878906" customHeight="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</x:row>
    <x:row r="22" ht="14.399999618530273">
      <x:c r="A22" s="1"/>
    </x:row>
  </x:sheetData>
  <x:mergeCells>
    <x:mergeCell ref="A1:N1"/>
    <x:mergeCell ref="A21:N21"/>
  </x:mergeCells>
  <x:conditionalFormatting sqref="N19:N19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3">
    <x:dataValidation type="list" sqref="L4:L19">
      <x:formula1>"A,Equal,B"</x:formula1>
    </x:dataValidation>
    <x:dataValidation type="list" sqref="M4:M19">
      <x:formula1>"1,3,5,7,9"</x:formula1>
    </x:dataValidation>
    <x:dataValidation type="list" sqref="I4:K19">
      <x:formula1>"A,Similar,B,Uncertain"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611ad08aac4efe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6.19921875" customWidth="1"/>
    <x:col min="2" max="2" width="11.19921875" customWidth="1"/>
    <x:col min="3" max="3" width="10" customWidth="1"/>
    <x:col min="4" max="4" width="15" customWidth="1"/>
    <x:col min="5" max="5" width="15.3984375" customWidth="1"/>
    <x:col min="6" max="6" width="12.3984375" customWidth="1"/>
    <x:col min="7" max="7" width="11.09765625" customWidth="1"/>
    <x:col min="8" max="8" width="13.5" customWidth="1"/>
    <x:col min="9" max="9" width="11.59765625" customWidth="1"/>
    <x:col min="10" max="10" width="12.5" customWidth="1"/>
    <x:col min="11" max="11" width="10.19921875" customWidth="1"/>
    <x:col min="12" max="12" width="13.19921875" customWidth="1"/>
    <x:col min="13" max="13" width="11.8984375" customWidth="1"/>
  </x:cols>
  <x:sheetData>
    <x:row r="1" ht="70.80000305175781" customHeight="1">
      <x:c r="A1" s="17" t="str">
        <x:v>Scope</x:v>
      </x:c>
      <x:c r="B1" s="20" t="s">
        <x:v>25</x:v>
      </x:c>
      <x:c r="C1" s="19" t="s">
        <x:v>26</x:v>
      </x:c>
      <x:c r="D1" s="19" t="s">
        <x:v>27</x:v>
      </x:c>
      <x:c r="E1" s="19" t="s">
        <x:v>28</x:v>
      </x:c>
    </x:row>
    <x:row r="2" ht="14.399999618530273">
      <x:c r="A2" s="31" t="str">
        <x:v>Global</x:v>
      </x:c>
      <x:c r="B2" s="32" t="s">
        <x:v>29</x:v>
      </x:c>
      <x:c r="C2" s="22" t="n">
        <x:v>67</x:v>
      </x:c>
      <x:c r="D2" s="22" t="n">
        <x:v>10</x:v>
      </x:c>
      <x:c r="E2" s="2" t="n">
        <x:f>(D2/C2)*100</x:f>
        <x:v>14.925373134328357</x:v>
      </x:c>
    </x:row>
    <x:row r="3" ht="14.399999618530273">
      <x:c r="A3" s="33" t="str">
        <x:v>Global</x:v>
      </x:c>
      <x:c r="B3" s="30" t="s">
        <x:v>30</x:v>
      </x:c>
      <x:c r="C3" s="22" t="n">
        <x:v>82</x:v>
      </x:c>
      <x:c r="D3" s="22" t="n">
        <x:v>19</x:v>
      </x:c>
      <x:c r="E3" s="2" t="n">
        <x:f t="shared" ref="E3:E6" si="0">(D3/C3)*100</x:f>
        <x:v>23.170731707317074</x:v>
      </x:c>
    </x:row>
    <x:row r="4" ht="14.399999618530273">
      <x:c r="A4" s="31" t="str">
        <x:v>Global</x:v>
      </x:c>
      <x:c r="B4" s="32" t="s">
        <x:v>31</x:v>
      </x:c>
      <x:c r="C4" s="32" t="n">
        <x:v>12</x:v>
      </x:c>
      <x:c r="D4" s="22" t="n">
        <x:v>1</x:v>
      </x:c>
      <x:c r="E4" s="2">
        <x:f t="shared" si="0"/>
        <x:v>8.3333333333333321</x:v>
      </x:c>
    </x:row>
    <x:row r="5" ht="14.399999618530273">
      <x:c r="A5" s="33" t="str">
        <x:v>Global</x:v>
      </x:c>
      <x:c r="B5" s="30" t="s">
        <x:v>20</x:v>
      </x:c>
      <x:c r="C5" s="22" t="n">
        <x:v>15</x:v>
      </x:c>
      <x:c r="D5" s="22" t="n">
        <x:v>3</x:v>
      </x:c>
      <x:c r="E5" s="2">
        <x:f t="shared" si="0"/>
        <x:v>20</x:v>
      </x:c>
    </x:row>
    <x:row r="6" ht="14.399999618530273">
      <x:c r="A6" s="31" t="str">
        <x:v>Global</x:v>
      </x:c>
      <x:c r="B6" s="32" t="s">
        <x:v>32</x:v>
      </x:c>
      <x:c r="C6" s="22" t="n">
        <x:v>74</x:v>
      </x:c>
      <x:c r="D6" s="22" t="n">
        <x:v>14</x:v>
      </x:c>
      <x:c r="E6" s="2">
        <x:f t="shared" si="0"/>
        <x:v>18.918918918918919</x:v>
      </x:c>
    </x:row>
    <x:row r="7" ht="7.800000190734863" customHeight="1">
      <x:c r="A7" s="18"/>
      <x:c r="B7" s="23"/>
      <x:c r="C7" s="23"/>
      <x:c r="D7" s="23"/>
      <x:c r="E7" s="23"/>
    </x:row>
    <x:row r="9">
      <x:c r="A9" s="26" t="s">
        <x:v>33</x:v>
      </x:c>
      <x:c r="B9" s="26"/>
      <x:c r="C9" s="26"/>
      <x:c r="D9" s="26"/>
      <x:c r="E9" s="26"/>
    </x:row>
    <x:row r="13" ht="9" customHeight="1"/>
    <x:row r="14" ht="11.399999618530273" customHeight="1"/>
    <x:row r="17">
      <x:c r="G17" s="21"/>
    </x:row>
    <x:row r="20" ht="29.399999618530273" customHeight="1"/>
  </x:sheetData>
  <x:mergeCells>
    <x:mergeCell ref="A9:E9"/>
  </x:mergeCells>
  <x:pageMargins left="0.7" right="0.7" top="0.75" bottom="0.75" header="0.3" footer="0.3"/>
  <x:tableParts count="1">
    <x:tablePart xmlns:r="http://schemas.openxmlformats.org/officeDocument/2006/relationships" r:id="Rf762edbd7ec64a5b"/>
  </x:tableParts>
</x:worksheet>
</file>