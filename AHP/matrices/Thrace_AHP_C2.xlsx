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roject\10_docs\Appendix\AHP\matrices\"/>
    </mc:Choice>
  </mc:AlternateContent>
  <xr:revisionPtr revIDLastSave="0" documentId="13_ncr:1_{51307F79-A90B-4B6F-A824-D432A582F647}" xr6:coauthVersionLast="47" xr6:coauthVersionMax="47" xr10:uidLastSave="{00000000-0000-0000-0000-000000000000}"/>
  <bookViews>
    <workbookView xWindow="-28800" yWindow="1965" windowWidth="21930" windowHeight="125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9" i="1"/>
  <c r="H25" i="1" s="1"/>
  <c r="G9" i="1"/>
  <c r="G25" i="1" s="1"/>
  <c r="F9" i="1"/>
  <c r="F23" i="1" s="1"/>
  <c r="E9" i="1"/>
  <c r="E23" i="1" s="1"/>
  <c r="D9" i="1"/>
  <c r="D23" i="1" s="1"/>
  <c r="C9" i="1"/>
  <c r="C27" i="1" s="1"/>
  <c r="C24" i="1" l="1"/>
  <c r="C22" i="1"/>
  <c r="C26" i="1"/>
  <c r="G23" i="1"/>
  <c r="D26" i="1"/>
  <c r="H26" i="1"/>
  <c r="E24" i="1"/>
  <c r="F22" i="1"/>
  <c r="H24" i="1"/>
  <c r="F24" i="1"/>
  <c r="E22" i="1"/>
  <c r="G26" i="1"/>
  <c r="G22" i="1"/>
  <c r="H22" i="1"/>
  <c r="H28" i="1" s="1"/>
  <c r="C25" i="1"/>
  <c r="I25" i="1" s="1"/>
  <c r="E27" i="1"/>
  <c r="D27" i="1"/>
  <c r="D25" i="1"/>
  <c r="F27" i="1"/>
  <c r="D24" i="1"/>
  <c r="I24" i="1" s="1"/>
  <c r="C23" i="1"/>
  <c r="E25" i="1"/>
  <c r="G27" i="1"/>
  <c r="D22" i="1"/>
  <c r="D28" i="1" s="1"/>
  <c r="G24" i="1"/>
  <c r="F25" i="1"/>
  <c r="H27" i="1"/>
  <c r="E26" i="1"/>
  <c r="F26" i="1"/>
  <c r="I27" i="1" l="1"/>
  <c r="G28" i="1"/>
  <c r="I23" i="1"/>
  <c r="D33" i="1" s="1"/>
  <c r="I26" i="1"/>
  <c r="G36" i="1" s="1"/>
  <c r="J34" i="1"/>
  <c r="E36" i="1"/>
  <c r="E37" i="1"/>
  <c r="E35" i="1"/>
  <c r="E34" i="1"/>
  <c r="E32" i="1"/>
  <c r="E33" i="1"/>
  <c r="H36" i="1"/>
  <c r="H34" i="1"/>
  <c r="H32" i="1"/>
  <c r="H35" i="1"/>
  <c r="J37" i="1"/>
  <c r="H33" i="1"/>
  <c r="H37" i="1"/>
  <c r="G34" i="1"/>
  <c r="G33" i="1"/>
  <c r="G32" i="1"/>
  <c r="J36" i="1"/>
  <c r="F37" i="1"/>
  <c r="F36" i="1"/>
  <c r="F34" i="1"/>
  <c r="F32" i="1"/>
  <c r="F35" i="1"/>
  <c r="J35" i="1"/>
  <c r="F33" i="1"/>
  <c r="E28" i="1"/>
  <c r="F28" i="1"/>
  <c r="D34" i="1"/>
  <c r="D32" i="1"/>
  <c r="D37" i="1"/>
  <c r="D35" i="1"/>
  <c r="I22" i="1"/>
  <c r="C28" i="1"/>
  <c r="J33" i="1" l="1"/>
  <c r="D36" i="1"/>
  <c r="G37" i="1"/>
  <c r="G35" i="1"/>
  <c r="C33" i="1"/>
  <c r="I33" i="1" s="1"/>
  <c r="K33" i="1" s="1"/>
  <c r="C37" i="1"/>
  <c r="I37" i="1" s="1"/>
  <c r="K37" i="1" s="1"/>
  <c r="C32" i="1"/>
  <c r="I32" i="1" s="1"/>
  <c r="J32" i="1"/>
  <c r="I28" i="1"/>
  <c r="C34" i="1"/>
  <c r="I34" i="1" s="1"/>
  <c r="K34" i="1" s="1"/>
  <c r="C36" i="1"/>
  <c r="I36" i="1" s="1"/>
  <c r="K36" i="1" s="1"/>
  <c r="C35" i="1"/>
  <c r="I35" i="1" s="1"/>
  <c r="K35" i="1" s="1"/>
  <c r="K32" i="1" l="1"/>
  <c r="K38" i="1" s="1"/>
  <c r="D42" i="1" s="1"/>
  <c r="D44" i="1" s="1"/>
  <c r="D50" i="1" s="1"/>
</calcChain>
</file>

<file path=xl/sharedStrings.xml><?xml version="1.0" encoding="utf-8"?>
<sst xmlns="http://schemas.openxmlformats.org/spreadsheetml/2006/main" count="60" uniqueCount="28">
  <si>
    <t>Seismic</t>
  </si>
  <si>
    <t>Wildfire</t>
  </si>
  <si>
    <t>Flood</t>
  </si>
  <si>
    <t>Soil Erosion</t>
  </si>
  <si>
    <t>Landslide</t>
  </si>
  <si>
    <t>Asset Vulnerability</t>
  </si>
  <si>
    <t>Sum</t>
  </si>
  <si>
    <t>Equal Importance</t>
  </si>
  <si>
    <t>Moderate importance</t>
  </si>
  <si>
    <t>Strong importance</t>
  </si>
  <si>
    <t>Very strong importance</t>
  </si>
  <si>
    <t>Extreme importance</t>
  </si>
  <si>
    <t>1/3, 1/5, 1/7, 1/9</t>
  </si>
  <si>
    <t>Reciprocal values when the row criterion is less important than the column criterion</t>
  </si>
  <si>
    <t>Weight</t>
  </si>
  <si>
    <t>Weighted sum vector (wsv)</t>
  </si>
  <si>
    <t>Consistency vector (wsv/w)</t>
  </si>
  <si>
    <t>Weight (w)</t>
  </si>
  <si>
    <t>λ max</t>
  </si>
  <si>
    <t>Consistency Index (CI)</t>
  </si>
  <si>
    <t>(λmax - n)/(n-1)</t>
  </si>
  <si>
    <t>CI</t>
  </si>
  <si>
    <t>Random Index (RI)</t>
  </si>
  <si>
    <t>n=6</t>
  </si>
  <si>
    <t>Consistency Ratio</t>
  </si>
  <si>
    <t>CI/RI</t>
  </si>
  <si>
    <t>Acceptable consistency</t>
  </si>
  <si>
    <t>CR&lt;0.10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</si>
</sst>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11" x14ac:knownFonts="1">
    <font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b/>
      <sz val="11"/>
      <color rgb="FFFF0000"/>
      <name val="Calibri"/>
    </font>
    <font>
      <b/>
      <sz val="9"/>
      <color theme="1"/>
      <name val="Calibri"/>
    </font>
    <font>
      <b/>
      <i/>
      <sz val="11"/>
      <color theme="4" tint="-0.249977111117893"/>
      <name val="Calibri"/>
    </font>
    <font>
      <sz val="11"/>
      <color rgb="FF000000"/>
      <name val="Calibri"/>
    </font>
    <font>
      <sz val="11"/>
      <color rgb="FF000000"/>
      <name val="Calibri"/>
    </font>
    <font>
      <b/>
      <i/>
      <sz val="11"/>
      <color theme="4" tint="-0.49995422223578601"/>
      <name val="Calibri"/>
    </font>
    <font>
      <b/>
      <sz val="10"/>
      <color theme="1"/>
      <name val="Calibri"/>
    </font>
    <font>
      <sz val="9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64" fontId="0" fillId="0" borderId="0" xfId="0" applyNumberFormat="1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0" borderId="0" xfId="0" applyFont="1"/>
    <xf numFmtId="0" fontId="0" fillId="3" borderId="0" xfId="0" applyFill="1"/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6" fontId="7" fillId="0" borderId="5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/>
    </xf>
    <xf numFmtId="16" fontId="0" fillId="0" borderId="0" xfId="0" applyNumberFormat="1"/>
    <xf numFmtId="2" fontId="6" fillId="4" borderId="4" xfId="0" applyNumberFormat="1" applyFont="1" applyFill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/>
    <xf numFmtId="2" fontId="4" fillId="0" borderId="1" xfId="0" applyNumberFormat="1" applyFont="1" applyBorder="1" applyAlignment="1">
      <alignment vertical="center" wrapText="1"/>
    </xf>
    <xf numFmtId="2" fontId="10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28" workbookViewId="0">
      <selection activeCell="K7" sqref="K7"/>
    </sheetView>
  </sheetViews>
  <sheetFormatPr defaultRowHeight="14.4" x14ac:dyDescent="0.3"/>
  <cols>
    <col min="2" max="2" width="16.6640625" customWidth="1"/>
    <col min="3" max="7" width="13.33203125" customWidth="1"/>
    <col min="8" max="8" width="17" customWidth="1"/>
    <col min="10" max="10" width="9.5546875" customWidth="1"/>
  </cols>
  <sheetData>
    <row r="1" spans="1:9" x14ac:dyDescent="0.3">
      <c r="A1" s="2"/>
      <c r="B1" s="2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</row>
    <row r="2" spans="1:9" x14ac:dyDescent="0.3">
      <c r="A2" s="2"/>
      <c r="B2" s="2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</row>
    <row r="3" spans="1:9" x14ac:dyDescent="0.3">
      <c r="A3" s="3">
        <v>1</v>
      </c>
      <c r="B3" s="5" t="s">
        <v>0</v>
      </c>
      <c r="C3" s="23">
        <v>1</v>
      </c>
      <c r="D3" s="24">
        <v>3</v>
      </c>
      <c r="E3" s="24">
        <v>7</v>
      </c>
      <c r="F3" s="24">
        <v>7</v>
      </c>
      <c r="G3" s="24">
        <v>0.2</v>
      </c>
      <c r="H3" s="24">
        <v>5</v>
      </c>
    </row>
    <row r="4" spans="1:9" x14ac:dyDescent="0.3">
      <c r="A4" s="3">
        <v>2</v>
      </c>
      <c r="B4" s="5" t="s">
        <v>1</v>
      </c>
      <c r="C4" s="24">
        <v>0.33333333333333331</v>
      </c>
      <c r="D4" s="23">
        <v>1</v>
      </c>
      <c r="E4" s="24">
        <v>5</v>
      </c>
      <c r="F4" s="24">
        <v>5</v>
      </c>
      <c r="G4" s="24">
        <v>0.2</v>
      </c>
      <c r="H4" s="24">
        <v>3</v>
      </c>
    </row>
    <row r="5" spans="1:9" x14ac:dyDescent="0.3">
      <c r="A5" s="3">
        <v>3</v>
      </c>
      <c r="B5" s="5" t="s">
        <v>2</v>
      </c>
      <c r="C5" s="24">
        <v>0.14285714285714285</v>
      </c>
      <c r="D5" s="24">
        <v>0.2</v>
      </c>
      <c r="E5" s="23">
        <v>1</v>
      </c>
      <c r="F5" s="24">
        <v>1</v>
      </c>
      <c r="G5" s="24">
        <v>0.14285714285714285</v>
      </c>
      <c r="H5" s="24">
        <v>0.33333333333333331</v>
      </c>
    </row>
    <row r="6" spans="1:9" x14ac:dyDescent="0.3">
      <c r="A6" s="3">
        <v>4</v>
      </c>
      <c r="B6" s="5" t="s">
        <v>3</v>
      </c>
      <c r="C6" s="24">
        <v>0.14285714285714285</v>
      </c>
      <c r="D6" s="24">
        <v>0.2</v>
      </c>
      <c r="E6" s="24">
        <v>1</v>
      </c>
      <c r="F6" s="23">
        <v>1</v>
      </c>
      <c r="G6" s="24">
        <v>0.14285714285714285</v>
      </c>
      <c r="H6" s="24">
        <v>0.33333333333333331</v>
      </c>
      <c r="I6" s="22"/>
    </row>
    <row r="7" spans="1:9" x14ac:dyDescent="0.3">
      <c r="A7" s="3">
        <v>5</v>
      </c>
      <c r="B7" s="5" t="s">
        <v>4</v>
      </c>
      <c r="C7" s="24">
        <v>5</v>
      </c>
      <c r="D7" s="24">
        <v>5</v>
      </c>
      <c r="E7" s="24">
        <v>7</v>
      </c>
      <c r="F7" s="24">
        <v>7</v>
      </c>
      <c r="G7" s="23">
        <v>1</v>
      </c>
      <c r="H7" s="24">
        <v>5</v>
      </c>
    </row>
    <row r="8" spans="1:9" x14ac:dyDescent="0.3">
      <c r="A8" s="3">
        <v>6</v>
      </c>
      <c r="B8" s="5" t="s">
        <v>5</v>
      </c>
      <c r="C8" s="24">
        <v>0.2</v>
      </c>
      <c r="D8" s="24">
        <v>0.33333333333333331</v>
      </c>
      <c r="E8" s="24">
        <v>3</v>
      </c>
      <c r="F8" s="24">
        <v>3</v>
      </c>
      <c r="G8" s="24">
        <v>0.2</v>
      </c>
      <c r="H8" s="23">
        <v>1</v>
      </c>
    </row>
    <row r="9" spans="1:9" x14ac:dyDescent="0.3">
      <c r="A9" s="7"/>
      <c r="B9" s="18" t="s">
        <v>6</v>
      </c>
      <c r="C9" s="19">
        <f t="shared" ref="C9:H9" si="0">SUM(C3:C8)</f>
        <v>6.8190476190476188</v>
      </c>
      <c r="D9" s="19">
        <f t="shared" si="0"/>
        <v>9.7333333333333343</v>
      </c>
      <c r="E9" s="19">
        <f t="shared" si="0"/>
        <v>24</v>
      </c>
      <c r="F9" s="19">
        <f t="shared" si="0"/>
        <v>24</v>
      </c>
      <c r="G9" s="19">
        <f t="shared" si="0"/>
        <v>1.8857142857142857</v>
      </c>
      <c r="H9" s="19">
        <f t="shared" si="0"/>
        <v>14.666666666666668</v>
      </c>
    </row>
    <row r="10" spans="1:9" x14ac:dyDescent="0.3">
      <c r="B10" s="1"/>
    </row>
    <row r="12" spans="1:9" x14ac:dyDescent="0.3">
      <c r="B12" s="1">
        <v>1</v>
      </c>
      <c r="C12" s="1" t="s">
        <v>7</v>
      </c>
    </row>
    <row r="13" spans="1:9" x14ac:dyDescent="0.3">
      <c r="B13" s="1">
        <v>3</v>
      </c>
      <c r="C13" s="1" t="s">
        <v>8</v>
      </c>
      <c r="E13" s="8"/>
    </row>
    <row r="14" spans="1:9" x14ac:dyDescent="0.3">
      <c r="B14" s="1">
        <v>5</v>
      </c>
      <c r="C14" s="1" t="s">
        <v>9</v>
      </c>
    </row>
    <row r="15" spans="1:9" x14ac:dyDescent="0.3">
      <c r="B15" s="1">
        <v>7</v>
      </c>
      <c r="C15" s="1" t="s">
        <v>10</v>
      </c>
    </row>
    <row r="16" spans="1:9" x14ac:dyDescent="0.3">
      <c r="B16" s="1">
        <v>9</v>
      </c>
      <c r="C16" s="1" t="s">
        <v>11</v>
      </c>
    </row>
    <row r="17" spans="1:11" x14ac:dyDescent="0.3">
      <c r="B17" s="1"/>
      <c r="C17" s="1"/>
    </row>
    <row r="18" spans="1:11" x14ac:dyDescent="0.3">
      <c r="B18" s="1" t="s">
        <v>12</v>
      </c>
      <c r="C18" s="30" t="s">
        <v>13</v>
      </c>
      <c r="D18" s="30"/>
      <c r="E18" s="30"/>
      <c r="F18" s="30"/>
      <c r="G18" s="30"/>
      <c r="H18" s="30"/>
    </row>
    <row r="20" spans="1:11" x14ac:dyDescent="0.3">
      <c r="A20" s="2"/>
      <c r="B20" s="2"/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</row>
    <row r="21" spans="1:11" x14ac:dyDescent="0.3">
      <c r="A21" s="2"/>
      <c r="B21" s="2"/>
      <c r="C21" s="4" t="s">
        <v>0</v>
      </c>
      <c r="D21" s="4" t="s">
        <v>1</v>
      </c>
      <c r="E21" s="4" t="s">
        <v>2</v>
      </c>
      <c r="F21" s="4" t="s">
        <v>3</v>
      </c>
      <c r="G21" s="4" t="s">
        <v>4</v>
      </c>
      <c r="H21" s="4" t="s">
        <v>5</v>
      </c>
      <c r="I21" s="4" t="s">
        <v>14</v>
      </c>
    </row>
    <row r="22" spans="1:11" x14ac:dyDescent="0.3">
      <c r="A22" s="3">
        <v>1</v>
      </c>
      <c r="B22" s="5" t="s">
        <v>0</v>
      </c>
      <c r="C22" s="6">
        <f>C3/$C$9</f>
        <v>0.14664804469273743</v>
      </c>
      <c r="D22" s="6">
        <f>D3/$D$9</f>
        <v>0.30821917808219174</v>
      </c>
      <c r="E22" s="6">
        <f>E3/$E$9</f>
        <v>0.29166666666666669</v>
      </c>
      <c r="F22" s="6">
        <f>F3/$F$9</f>
        <v>0.29166666666666669</v>
      </c>
      <c r="G22" s="6">
        <f>G3/$G$9</f>
        <v>0.10606060606060606</v>
      </c>
      <c r="H22" s="6">
        <f>H3/$H$9</f>
        <v>0.34090909090909088</v>
      </c>
      <c r="I22" s="10">
        <f t="shared" ref="I22:I27" si="1">AVERAGE(C22:H22)</f>
        <v>0.24752837551299323</v>
      </c>
    </row>
    <row r="23" spans="1:11" x14ac:dyDescent="0.3">
      <c r="A23" s="3">
        <v>2</v>
      </c>
      <c r="B23" s="5" t="s">
        <v>1</v>
      </c>
      <c r="C23" s="6">
        <f t="shared" ref="C23:C27" si="2">C4/$C$9</f>
        <v>4.8882681564245807E-2</v>
      </c>
      <c r="D23" s="6">
        <f t="shared" ref="D23:D27" si="3">D4/$D$9</f>
        <v>0.10273972602739725</v>
      </c>
      <c r="E23" s="6">
        <f t="shared" ref="E23:E27" si="4">E4/$E$9</f>
        <v>0.20833333333333334</v>
      </c>
      <c r="F23" s="6">
        <f t="shared" ref="F23:F27" si="5">F4/$F$9</f>
        <v>0.20833333333333334</v>
      </c>
      <c r="G23" s="6">
        <f t="shared" ref="G23:G27" si="6">G4/$G$9</f>
        <v>0.10606060606060606</v>
      </c>
      <c r="H23" s="6">
        <f t="shared" ref="H23:H27" si="7">H4/$H$9</f>
        <v>0.20454545454545453</v>
      </c>
      <c r="I23" s="10">
        <f t="shared" si="1"/>
        <v>0.14648252247739504</v>
      </c>
    </row>
    <row r="24" spans="1:11" x14ac:dyDescent="0.3">
      <c r="A24" s="3">
        <v>3</v>
      </c>
      <c r="B24" s="5" t="s">
        <v>2</v>
      </c>
      <c r="C24" s="6">
        <f t="shared" si="2"/>
        <v>2.094972067039106E-2</v>
      </c>
      <c r="D24" s="6">
        <f t="shared" si="3"/>
        <v>2.0547945205479451E-2</v>
      </c>
      <c r="E24" s="6">
        <f t="shared" si="4"/>
        <v>4.1666666666666664E-2</v>
      </c>
      <c r="F24" s="6">
        <f t="shared" si="5"/>
        <v>4.1666666666666664E-2</v>
      </c>
      <c r="G24" s="6">
        <f t="shared" si="6"/>
        <v>7.575757575757576E-2</v>
      </c>
      <c r="H24" s="6">
        <f t="shared" si="7"/>
        <v>2.2727272727272724E-2</v>
      </c>
      <c r="I24" s="10">
        <f t="shared" si="1"/>
        <v>3.7219307949008726E-2</v>
      </c>
    </row>
    <row r="25" spans="1:11" x14ac:dyDescent="0.3">
      <c r="A25" s="3">
        <v>4</v>
      </c>
      <c r="B25" s="5" t="s">
        <v>3</v>
      </c>
      <c r="C25" s="6">
        <f t="shared" si="2"/>
        <v>2.094972067039106E-2</v>
      </c>
      <c r="D25" s="6">
        <f t="shared" si="3"/>
        <v>2.0547945205479451E-2</v>
      </c>
      <c r="E25" s="6">
        <f t="shared" si="4"/>
        <v>4.1666666666666664E-2</v>
      </c>
      <c r="F25" s="6">
        <f t="shared" si="5"/>
        <v>4.1666666666666664E-2</v>
      </c>
      <c r="G25" s="6">
        <f t="shared" si="6"/>
        <v>7.575757575757576E-2</v>
      </c>
      <c r="H25" s="6">
        <f t="shared" si="7"/>
        <v>2.2727272727272724E-2</v>
      </c>
      <c r="I25" s="10">
        <f t="shared" si="1"/>
        <v>3.7219307949008726E-2</v>
      </c>
    </row>
    <row r="26" spans="1:11" x14ac:dyDescent="0.3">
      <c r="A26" s="3">
        <v>5</v>
      </c>
      <c r="B26" s="5" t="s">
        <v>4</v>
      </c>
      <c r="C26" s="6">
        <f t="shared" si="2"/>
        <v>0.73324022346368722</v>
      </c>
      <c r="D26" s="6">
        <f t="shared" si="3"/>
        <v>0.51369863013698625</v>
      </c>
      <c r="E26" s="6">
        <f t="shared" si="4"/>
        <v>0.29166666666666669</v>
      </c>
      <c r="F26" s="6">
        <f t="shared" si="5"/>
        <v>0.29166666666666669</v>
      </c>
      <c r="G26" s="6">
        <f t="shared" si="6"/>
        <v>0.53030303030303028</v>
      </c>
      <c r="H26" s="6">
        <f t="shared" si="7"/>
        <v>0.34090909090909088</v>
      </c>
      <c r="I26" s="10">
        <f t="shared" si="1"/>
        <v>0.45024738469102132</v>
      </c>
    </row>
    <row r="27" spans="1:11" x14ac:dyDescent="0.3">
      <c r="A27" s="3">
        <v>6</v>
      </c>
      <c r="B27" s="5" t="s">
        <v>5</v>
      </c>
      <c r="C27" s="6">
        <f t="shared" si="2"/>
        <v>2.932960893854749E-2</v>
      </c>
      <c r="D27" s="6">
        <f t="shared" si="3"/>
        <v>3.4246575342465752E-2</v>
      </c>
      <c r="E27" s="6">
        <f t="shared" si="4"/>
        <v>0.125</v>
      </c>
      <c r="F27" s="6">
        <f t="shared" si="5"/>
        <v>0.125</v>
      </c>
      <c r="G27" s="6">
        <f t="shared" si="6"/>
        <v>0.10606060606060606</v>
      </c>
      <c r="H27" s="6">
        <f t="shared" si="7"/>
        <v>6.8181818181818177E-2</v>
      </c>
      <c r="I27" s="10">
        <f t="shared" si="1"/>
        <v>8.1303101420572912E-2</v>
      </c>
    </row>
    <row r="28" spans="1:11" x14ac:dyDescent="0.3">
      <c r="B28" s="25" t="s">
        <v>6</v>
      </c>
      <c r="C28" s="26">
        <f t="shared" ref="C28:I28" si="8">SUM(C22:C27)</f>
        <v>1</v>
      </c>
      <c r="D28" s="26">
        <f t="shared" si="8"/>
        <v>0.99999999999999989</v>
      </c>
      <c r="E28" s="26">
        <f t="shared" si="8"/>
        <v>1</v>
      </c>
      <c r="F28" s="26">
        <f t="shared" si="8"/>
        <v>1</v>
      </c>
      <c r="G28" s="26">
        <f t="shared" si="8"/>
        <v>1</v>
      </c>
      <c r="H28" s="26">
        <f t="shared" si="8"/>
        <v>0.99999999999999978</v>
      </c>
      <c r="I28" s="26">
        <f t="shared" si="8"/>
        <v>1</v>
      </c>
    </row>
    <row r="30" spans="1:11" ht="19.2" customHeight="1" x14ac:dyDescent="0.3">
      <c r="A30" s="2"/>
      <c r="B30" s="2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29" t="s">
        <v>15</v>
      </c>
      <c r="K30" s="31" t="s">
        <v>16</v>
      </c>
    </row>
    <row r="31" spans="1:11" x14ac:dyDescent="0.3">
      <c r="A31" s="2"/>
      <c r="B31" s="2"/>
      <c r="C31" s="4" t="s">
        <v>0</v>
      </c>
      <c r="D31" s="4" t="s">
        <v>1</v>
      </c>
      <c r="E31" s="4" t="s">
        <v>2</v>
      </c>
      <c r="F31" s="4" t="s">
        <v>3</v>
      </c>
      <c r="G31" s="4" t="s">
        <v>4</v>
      </c>
      <c r="H31" s="4" t="s">
        <v>5</v>
      </c>
      <c r="I31" s="29"/>
      <c r="J31" s="27" t="s">
        <v>17</v>
      </c>
      <c r="K31" s="32"/>
    </row>
    <row r="32" spans="1:11" x14ac:dyDescent="0.3">
      <c r="A32" s="3">
        <v>1</v>
      </c>
      <c r="B32" s="5" t="s">
        <v>0</v>
      </c>
      <c r="C32" s="6">
        <f t="shared" ref="C32:C37" si="9">C3*$I$22</f>
        <v>0.24752837551299323</v>
      </c>
      <c r="D32" s="6">
        <f t="shared" ref="D32:D37" si="10">D3*$I$23</f>
        <v>0.43944756743218516</v>
      </c>
      <c r="E32" s="6">
        <f t="shared" ref="E32:E37" si="11">E3*$I$24</f>
        <v>0.26053515564306107</v>
      </c>
      <c r="F32" s="6">
        <f t="shared" ref="F32:F37" si="12">F3*$I$25</f>
        <v>0.26053515564306107</v>
      </c>
      <c r="G32" s="6">
        <f t="shared" ref="G32:G37" si="13">G3*$I$26</f>
        <v>9.0049476938204268E-2</v>
      </c>
      <c r="H32" s="6">
        <f t="shared" ref="H32:H37" si="14">H3*$I$27</f>
        <v>0.40651550710286455</v>
      </c>
      <c r="I32" s="9">
        <f t="shared" ref="I32:I37" si="15">SUM(C32:H32)</f>
        <v>1.7046112382723693</v>
      </c>
      <c r="J32" s="21">
        <f t="shared" ref="J32:J37" si="16">I22</f>
        <v>0.24752837551299323</v>
      </c>
      <c r="K32" s="20">
        <f>I32/J32</f>
        <v>6.8865286040019722</v>
      </c>
    </row>
    <row r="33" spans="1:11" x14ac:dyDescent="0.3">
      <c r="A33" s="3">
        <v>2</v>
      </c>
      <c r="B33" s="5" t="s">
        <v>1</v>
      </c>
      <c r="C33" s="6">
        <f t="shared" si="9"/>
        <v>8.2509458504331071E-2</v>
      </c>
      <c r="D33" s="6">
        <f t="shared" si="10"/>
        <v>0.14648252247739504</v>
      </c>
      <c r="E33" s="6">
        <f t="shared" si="11"/>
        <v>0.18609653974504364</v>
      </c>
      <c r="F33" s="6">
        <f t="shared" si="12"/>
        <v>0.18609653974504364</v>
      </c>
      <c r="G33" s="6">
        <f t="shared" si="13"/>
        <v>9.0049476938204268E-2</v>
      </c>
      <c r="H33" s="6">
        <f t="shared" si="14"/>
        <v>0.24390930426171875</v>
      </c>
      <c r="I33" s="9">
        <f t="shared" si="15"/>
        <v>0.93514384167173648</v>
      </c>
      <c r="J33" s="21">
        <f t="shared" si="16"/>
        <v>0.14648252247739504</v>
      </c>
      <c r="K33" s="20">
        <f t="shared" ref="K33:K37" si="17">I33/J33</f>
        <v>6.3839960280315795</v>
      </c>
    </row>
    <row r="34" spans="1:11" x14ac:dyDescent="0.3">
      <c r="A34" s="3">
        <v>3</v>
      </c>
      <c r="B34" s="5" t="s">
        <v>2</v>
      </c>
      <c r="C34" s="6">
        <f t="shared" si="9"/>
        <v>3.5361196501856172E-2</v>
      </c>
      <c r="D34" s="6">
        <f t="shared" si="10"/>
        <v>2.929650449547901E-2</v>
      </c>
      <c r="E34" s="6">
        <f t="shared" si="11"/>
        <v>3.7219307949008726E-2</v>
      </c>
      <c r="F34" s="6">
        <f t="shared" si="12"/>
        <v>3.7219307949008726E-2</v>
      </c>
      <c r="G34" s="6">
        <f t="shared" si="13"/>
        <v>6.4321054955860185E-2</v>
      </c>
      <c r="H34" s="6">
        <f t="shared" si="14"/>
        <v>2.7101033806857636E-2</v>
      </c>
      <c r="I34" s="9">
        <f t="shared" si="15"/>
        <v>0.23051840565807044</v>
      </c>
      <c r="J34" s="21">
        <f t="shared" si="16"/>
        <v>3.7219307949008726E-2</v>
      </c>
      <c r="K34" s="20">
        <f t="shared" si="17"/>
        <v>6.1935167084214928</v>
      </c>
    </row>
    <row r="35" spans="1:11" x14ac:dyDescent="0.3">
      <c r="A35" s="3">
        <v>4</v>
      </c>
      <c r="B35" s="5" t="s">
        <v>3</v>
      </c>
      <c r="C35" s="6">
        <f t="shared" si="9"/>
        <v>3.5361196501856172E-2</v>
      </c>
      <c r="D35" s="6">
        <f t="shared" si="10"/>
        <v>2.929650449547901E-2</v>
      </c>
      <c r="E35" s="6">
        <f t="shared" si="11"/>
        <v>3.7219307949008726E-2</v>
      </c>
      <c r="F35" s="6">
        <f t="shared" si="12"/>
        <v>3.7219307949008726E-2</v>
      </c>
      <c r="G35" s="6">
        <f t="shared" si="13"/>
        <v>6.4321054955860185E-2</v>
      </c>
      <c r="H35" s="6">
        <f t="shared" si="14"/>
        <v>2.7101033806857636E-2</v>
      </c>
      <c r="I35" s="9">
        <f t="shared" si="15"/>
        <v>0.23051840565807044</v>
      </c>
      <c r="J35" s="21">
        <f t="shared" si="16"/>
        <v>3.7219307949008726E-2</v>
      </c>
      <c r="K35" s="20">
        <f t="shared" si="17"/>
        <v>6.1935167084214928</v>
      </c>
    </row>
    <row r="36" spans="1:11" x14ac:dyDescent="0.3">
      <c r="A36" s="3">
        <v>5</v>
      </c>
      <c r="B36" s="5" t="s">
        <v>4</v>
      </c>
      <c r="C36" s="6">
        <f t="shared" si="9"/>
        <v>1.237641877564966</v>
      </c>
      <c r="D36" s="6">
        <f t="shared" si="10"/>
        <v>0.73241261238697519</v>
      </c>
      <c r="E36" s="6">
        <f t="shared" si="11"/>
        <v>0.26053515564306107</v>
      </c>
      <c r="F36" s="6">
        <f t="shared" si="12"/>
        <v>0.26053515564306107</v>
      </c>
      <c r="G36" s="6">
        <f t="shared" si="13"/>
        <v>0.45024738469102132</v>
      </c>
      <c r="H36" s="6">
        <f t="shared" si="14"/>
        <v>0.40651550710286455</v>
      </c>
      <c r="I36" s="9">
        <f t="shared" si="15"/>
        <v>3.3478876930319492</v>
      </c>
      <c r="J36" s="21">
        <f t="shared" si="16"/>
        <v>0.45024738469102132</v>
      </c>
      <c r="K36" s="20">
        <f t="shared" si="17"/>
        <v>7.4356627197943865</v>
      </c>
    </row>
    <row r="37" spans="1:11" x14ac:dyDescent="0.3">
      <c r="A37" s="3">
        <v>6</v>
      </c>
      <c r="B37" s="5" t="s">
        <v>5</v>
      </c>
      <c r="C37" s="6">
        <f t="shared" si="9"/>
        <v>4.9505675102598651E-2</v>
      </c>
      <c r="D37" s="6">
        <f t="shared" si="10"/>
        <v>4.8827507492465012E-2</v>
      </c>
      <c r="E37" s="6">
        <f t="shared" si="11"/>
        <v>0.11165792384702618</v>
      </c>
      <c r="F37" s="6">
        <f t="shared" si="12"/>
        <v>0.11165792384702618</v>
      </c>
      <c r="G37" s="6">
        <f t="shared" si="13"/>
        <v>9.0049476938204268E-2</v>
      </c>
      <c r="H37" s="6">
        <f t="shared" si="14"/>
        <v>8.1303101420572912E-2</v>
      </c>
      <c r="I37" s="9">
        <f t="shared" si="15"/>
        <v>0.49300160864789316</v>
      </c>
      <c r="J37" s="21">
        <f t="shared" si="16"/>
        <v>8.1303101420572912E-2</v>
      </c>
      <c r="K37" s="20">
        <f t="shared" si="17"/>
        <v>6.0637491071545293</v>
      </c>
    </row>
    <row r="38" spans="1:11" x14ac:dyDescent="0.3">
      <c r="J38" s="13" t="s">
        <v>18</v>
      </c>
      <c r="K38" s="14">
        <f>AVERAGE(K32:K37)</f>
        <v>6.5261616459709089</v>
      </c>
    </row>
    <row r="40" spans="1:11" x14ac:dyDescent="0.3">
      <c r="B40" s="16" t="s">
        <v>19</v>
      </c>
      <c r="D40" s="12" t="s">
        <v>20</v>
      </c>
    </row>
    <row r="42" spans="1:11" x14ac:dyDescent="0.3">
      <c r="C42" t="s">
        <v>18</v>
      </c>
      <c r="D42" s="11">
        <f>K38</f>
        <v>6.5261616459709089</v>
      </c>
    </row>
    <row r="44" spans="1:11" x14ac:dyDescent="0.3">
      <c r="C44" s="16" t="s">
        <v>21</v>
      </c>
      <c r="D44" s="15">
        <f>(D42-6)/(6-1)</f>
        <v>0.10523232919418177</v>
      </c>
    </row>
    <row r="47" spans="1:11" x14ac:dyDescent="0.3">
      <c r="B47" s="16" t="s">
        <v>22</v>
      </c>
    </row>
    <row r="48" spans="1:11" x14ac:dyDescent="0.3">
      <c r="B48" t="s">
        <v>23</v>
      </c>
      <c r="C48">
        <v>1.24</v>
      </c>
    </row>
    <row r="50" spans="2:4" x14ac:dyDescent="0.3">
      <c r="B50" s="16" t="s">
        <v>24</v>
      </c>
      <c r="C50" t="s">
        <v>25</v>
      </c>
      <c r="D50">
        <f>D44/C48</f>
        <v>8.4864781608211107E-2</v>
      </c>
    </row>
    <row r="52" spans="2:4" ht="28.8" x14ac:dyDescent="0.3">
      <c r="B52" s="28" t="s">
        <v>26</v>
      </c>
      <c r="C52" s="17" t="s">
        <v>27</v>
      </c>
    </row>
  </sheetData>
  <mergeCells count="3">
    <mergeCell ref="I30:I31"/>
    <mergeCell ref="C18:H18"/>
    <mergeCell ref="K30:K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Eskild Hillerup Pockel</cp:lastModifiedBy>
  <dcterms:modified xsi:type="dcterms:W3CDTF">2026-09-11T14:51:08Z</dcterms:modified>
</cp:coreProperties>
</file>