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a6496842bc43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862ad8215aa4fab"/>
  </x:sheets>
</x:workbook>
</file>

<file path=xl/sharedStrings.xml><?xml version="1.0" encoding="utf-8"?>
<x:sst xmlns:x="http://schemas.openxmlformats.org/spreadsheetml/2006/main">
  <x:si>
    <x:t xml:space="preserve">Seismic</x:t>
  </x:si>
  <x:si>
    <x:t xml:space="preserve">Wildfire</x:t>
  </x:si>
  <x:si>
    <x:t xml:space="preserve">Flood</x:t>
  </x:si>
  <x:si>
    <x:t xml:space="preserve">Soil Erosion</x:t>
  </x:si>
  <x:si>
    <x:t xml:space="preserve">Landslide</x:t>
  </x:si>
  <x:si>
    <x:t xml:space="preserve">Asset Vulnerability</x:t>
  </x:si>
  <x:si>
    <x:t xml:space="preserve">Sum</x:t>
  </x:si>
  <x:si>
    <x:t xml:space="preserve">Equal Importance</x:t>
  </x:si>
  <x:si>
    <x:t xml:space="preserve">Moderate importance</x:t>
  </x:si>
  <x:si>
    <x:t xml:space="preserve">Strong importance</x:t>
  </x:si>
  <x:si>
    <x:t xml:space="preserve">Very strong importance</x:t>
  </x:si>
  <x:si>
    <x:t xml:space="preserve">Extreme importance</x:t>
  </x:si>
  <x:si>
    <x:t xml:space="preserve">1/3, 1/5, 1/7, 1/9</x:t>
  </x:si>
  <x:si>
    <x:t xml:space="preserve">Reciprocal values when the row criterion is less important than the column criterion</x:t>
  </x:si>
  <x:si>
    <x:t xml:space="preserve">Weight</x:t>
  </x:si>
  <x:si>
    <x:t xml:space="preserve">Weighted sum vector (wsv)</x:t>
  </x:si>
  <x:si>
    <x:t xml:space="preserve">Consistency vector (wsv/w)</x:t>
  </x:si>
  <x:si>
    <x:t xml:space="preserve">Weight (w)</x:t>
  </x:si>
  <x:si>
    <x:t xml:space="preserve">λ max</x:t>
  </x:si>
  <x:si>
    <x:t xml:space="preserve">Consistency Index (CI)</x:t>
  </x:si>
  <x:si>
    <x:t xml:space="preserve">(λmax - n)/(n-1)</x:t>
  </x:si>
  <x:si>
    <x:t xml:space="preserve">CI</x:t>
  </x:si>
  <x:si>
    <x:t xml:space="preserve">Random Index (RI)</x:t>
  </x:si>
  <x:si>
    <x:t xml:space="preserve">n=6</x:t>
  </x:si>
  <x:si>
    <x:t xml:space="preserve">Consistency Ratio</x:t>
  </x:si>
  <x:si>
    <x:t xml:space="preserve">CI/RI</x:t>
  </x:si>
  <x:si>
    <x:t xml:space="preserve">Acceptable consistency</x:t>
  </x:si>
  <x:si>
    <x:t xml:space="preserve">CR&lt;0.10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</x:si>
</x:sst>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165" formatCode="0.00000"/>
    <x:numFmt numFmtId="166" formatCode="0.0000"/>
  </x:numFmts>
  <x:fonts count="11">
    <x:font>
      <x:sz val="11"/>
      <x:color theme="1"/>
      <x:name val="Calibri"/>
    </x:font>
    <x:font>
      <x:b/>
      <x:sz val="11"/>
      <x:color theme="1"/>
      <x:name val="Calibri"/>
    </x:font>
    <x:font>
      <x:b/>
      <x:i/>
      <x:sz val="11"/>
      <x:color theme="1"/>
      <x:name val="Calibri"/>
    </x:font>
    <x:font>
      <x:b/>
      <x:sz val="11"/>
      <x:color rgb="FFFF0000"/>
      <x:name val="Calibri"/>
    </x:font>
    <x:font>
      <x:b/>
      <x:sz val="9"/>
      <x:color theme="1"/>
      <x:name val="Calibri"/>
    </x:font>
    <x:font>
      <x:b/>
      <x:i/>
      <x:sz val="11"/>
      <x:color theme="4" tint="-0.24998"/>
      <x:name val="Calibri"/>
    </x:font>
    <x:font>
      <x:sz val="11"/>
      <x:color rgb="FF000000"/>
      <x:name val="Calibri"/>
    </x:font>
    <x:font>
      <x:sz val="11"/>
      <x:color rgb="FF000000"/>
      <x:name val="Calibri"/>
    </x:font>
    <x:font>
      <x:b/>
      <x:i/>
      <x:sz val="11"/>
      <x:color theme="4" tint="-0.49998"/>
      <x:name val="Calibri"/>
    </x:font>
    <x:font>
      <x:b/>
      <x:sz val="10"/>
      <x:color theme="1"/>
      <x:name val="Calibri"/>
    </x:font>
    <x:font>
      <x:sz val="9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theme="4" tint="0.59999"/>
      </x:patternFill>
    </x:fill>
    <x:fill>
      <x:patternFill patternType="solid">
        <x:fgColor theme="9" tint="0.39998"/>
      </x:patternFill>
    </x:fill>
    <x:fill>
      <x:patternFill patternType="solid">
        <x:fgColor rgb="FFD9D9D9"/>
      </x:patternFill>
    </x:fill>
  </x:fills>
  <x:borders count="7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0" borderId="0" xfId="0" applyAlignment="1">
      <x:alignment horizontal="left"/>
    </x:xf>
    <x:xf numFmtId="0" fontId="0" fillId="0" borderId="1" xfId="0" applyBorder="1"/>
    <x:xf numFmtId="0" fontId="1" fillId="0" borderId="1" xfId="0" applyFont="1" applyBorder="1" applyAlignment="1">
      <x:alignment horizontal="center" vertical="center"/>
    </x:xf>
    <x:xf numFmtId="0" fontId="1" fillId="0" borderId="1" xfId="0" applyFont="1" applyBorder="1" applyAlignment="1">
      <x:alignment horizontal="center"/>
    </x:xf>
    <x:xf numFmtId="0" fontId="1" fillId="0" borderId="1" xfId="0" applyFont="1" applyBorder="1" applyAlignment="1">
      <x:alignment horizontal="left"/>
    </x:xf>
    <x:xf numFmtId="2" fontId="0" fillId="0" borderId="1" xfId="0" applyNumberFormat="1" applyBorder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2" fontId="0" fillId="0" borderId="0" xfId="0" applyNumberFormat="1"/>
    <x:xf numFmtId="2" fontId="1" fillId="0" borderId="1" xfId="0" applyNumberFormat="1" applyFont="1" applyBorder="1" applyAlignment="1">
      <x:alignment horizontal="center" vertical="center"/>
    </x:xf>
    <x:xf numFmtId="2" fontId="3" fillId="0" borderId="1" xfId="0" applyNumberFormat="1" applyFont="1" applyBorder="1" applyAlignment="1">
      <x:alignment horizontal="center"/>
    </x:xf>
    <x:xf numFmtId="164" fontId="0" fillId="0" borderId="0" xfId="0" applyNumberFormat="1"/>
    <x:xf numFmtId="0" fontId="0" fillId="2" borderId="0" xfId="0" applyFill="1"/>
    <x:xf numFmtId="0" fontId="1" fillId="2" borderId="2" xfId="0" applyFont="1" applyFill="1" applyBorder="1" applyAlignment="1">
      <x:alignment horizontal="center" vertical="center"/>
    </x:xf>
    <x:xf numFmtId="164" fontId="1" fillId="2" borderId="3" xfId="0" applyNumberFormat="1" applyFont="1" applyFill="1" applyBorder="1" applyAlignment="1">
      <x:alignment horizontal="center" vertical="center"/>
    </x:xf>
    <x:xf numFmtId="165" fontId="0" fillId="0" borderId="0" xfId="0" applyNumberFormat="1"/>
    <x:xf numFmtId="0" fontId="2" fillId="0" borderId="0" xfId="0" applyFont="1"/>
    <x:xf numFmtId="0" fontId="0" fillId="3" borderId="0" xfId="0" applyFill="1"/>
    <x:xf numFmtId="0" fontId="5" fillId="0" borderId="1" xfId="0" applyFont="1" applyBorder="1" applyAlignment="1">
      <x:alignment horizontal="center" vertical="center"/>
    </x:xf>
    <x:xf numFmtId="2" fontId="5" fillId="0" borderId="1" xfId="0" applyNumberFormat="1" applyFont="1" applyBorder="1" applyAlignment="1">
      <x:alignment horizontal="center" vertical="center"/>
    </x:xf>
    <x:xf numFmtId="166" fontId="7" fillId="0" borderId="5" xfId="0" applyNumberFormat="1" applyFont="1" applyBorder="1" applyAlignment="1">
      <x:alignment horizontal="center" vertical="center"/>
    </x:xf>
    <x:xf numFmtId="166" fontId="3" fillId="0" borderId="1" xfId="0" applyNumberFormat="1" applyFont="1" applyBorder="1" applyAlignment="1">
      <x:alignment horizontal="center"/>
    </x:xf>
    <x:xf numFmtId="16" fontId="0" fillId="0" borderId="0" xfId="0" applyNumberFormat="1"/>
    <x:xf numFmtId="2" fontId="6" fillId="4" borderId="4" xfId="0" applyNumberFormat="1" applyFont="1" applyFill="1" applyBorder="1" applyAlignment="1">
      <x:alignment horizontal="center" vertical="center"/>
    </x:xf>
    <x:xf numFmtId="2" fontId="6" fillId="0" borderId="4" xfId="0" applyNumberFormat="1" applyFont="1" applyBorder="1" applyAlignment="1">
      <x:alignment horizontal="center" vertical="center"/>
    </x:xf>
    <x:xf numFmtId="0" fontId="8" fillId="0" borderId="1" xfId="0" applyFont="1" applyBorder="1" applyAlignment="1">
      <x:alignment horizontal="center" vertical="center"/>
    </x:xf>
    <x:xf numFmtId="2" fontId="8" fillId="0" borderId="1" xfId="0" applyNumberFormat="1" applyFont="1" applyBorder="1" applyAlignment="1">
      <x:alignment horizontal="center" vertical="center"/>
    </x:xf>
    <x:xf numFmtId="0" fontId="9" fillId="0" borderId="6" xfId="0" applyFont="1" applyBorder="1" applyAlignment="1">
      <x:alignment horizontal="center"/>
    </x:xf>
    <x:xf numFmtId="0" fontId="0" fillId="0" borderId="0" xfId="0" applyAlignment="1">
      <x:alignment wrapText="1"/>
    </x:xf>
    <x:xf numFmtId="0" fontId="4" fillId="0" borderId="1" xfId="0" applyFont="1" applyBorder="1" applyAlignment="1">
      <x:alignment horizontal="center" vertical="center" wrapText="1"/>
    </x:xf>
    <x:xf numFmtId="2" fontId="4" fillId="0" borderId="1" xfId="0" applyNumberFormat="1" applyFont="1" applyBorder="1" applyAlignment="1">
      <x:alignment vertical="center" wrapText="1"/>
    </x:xf>
    <x:xf numFmtId="2" fontId="10" fillId="0" borderId="1" xfId="0" applyNumberFormat="1" applyFont="1" applyBorder="1" applyAlignment="1">
      <x:alignment vertical="center" wrapText="1"/>
    </x:xf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b187182a8c4d66" /><Relationship Type="http://schemas.openxmlformats.org/officeDocument/2006/relationships/theme" Target="/xl/theme/theme1.xml" Id="Rdb9c6cae91fd465d" /><Relationship Type="http://schemas.openxmlformats.org/officeDocument/2006/relationships/sharedStrings" Target="/xl/sharedStrings.xml" Id="R4c39f5f2ad9b432c" /><Relationship Type="http://schemas.openxmlformats.org/officeDocument/2006/relationships/worksheet" Target="/xl/worksheets/sheet1.xml" Id="Rb862ad8215aa4fab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399999618530273"/>
  <x:cols>
    <x:col min="2" max="2" width="16.6640625" customWidth="1"/>
    <x:col min="3" max="7" width="13.33203125" customWidth="1"/>
    <x:col min="8" max="8" width="17" customWidth="1"/>
    <x:col min="10" max="10" width="9.5546875" customWidth="1"/>
  </x:cols>
  <x:sheetData>
    <x:row r="1">
      <x:c r="A1" s="2"/>
      <x:c r="B1" s="2"/>
      <x:c r="C1" s="3">
        <x:v>1</x:v>
      </x:c>
      <x:c r="D1" s="3">
        <x:v>2</x:v>
      </x:c>
      <x:c r="E1" s="3">
        <x:v>3</x:v>
      </x:c>
      <x:c r="F1" s="3">
        <x:v>4</x:v>
      </x:c>
      <x:c r="G1" s="3">
        <x:v>5</x:v>
      </x:c>
      <x:c r="H1" s="3">
        <x:v>6</x:v>
      </x:c>
    </x:row>
    <x:row r="2">
      <x:c r="A2" s="2"/>
      <x:c r="B2" s="2"/>
      <x:c r="C2" s="4" t="s">
        <x:v>0</x:v>
      </x:c>
      <x:c r="D2" s="4" t="s">
        <x:v>1</x:v>
      </x:c>
      <x:c r="E2" s="4" t="s">
        <x:v>2</x:v>
      </x:c>
      <x:c r="F2" s="4" t="s">
        <x:v>3</x:v>
      </x:c>
      <x:c r="G2" s="4" t="s">
        <x:v>4</x:v>
      </x:c>
      <x:c r="H2" s="4" t="s">
        <x:v>5</x:v>
      </x:c>
    </x:row>
    <x:row r="3" ht="15">
      <x:c r="A3" s="3">
        <x:v>1</x:v>
      </x:c>
      <x:c r="B3" s="5" t="s">
        <x:v>0</x:v>
      </x:c>
      <x:c r="C3" s="23">
        <x:v>1</x:v>
      </x:c>
      <x:c r="D3" s="24">
        <x:v>3</x:v>
      </x:c>
      <x:c r="E3" s="24">
        <x:v>5</x:v>
      </x:c>
      <x:c r="F3" s="24">
        <x:v>3</x:v>
      </x:c>
      <x:c r="G3" s="24">
        <x:v>0.2</x:v>
      </x:c>
      <x:c r="H3" s="24">
        <x:v>5</x:v>
      </x:c>
    </x:row>
    <x:row r="4" ht="15">
      <x:c r="A4" s="3">
        <x:v>2</x:v>
      </x:c>
      <x:c r="B4" s="5" t="s">
        <x:v>1</x:v>
      </x:c>
      <x:c r="C4" s="24">
        <x:v>0.33333333333333331</x:v>
      </x:c>
      <x:c r="D4" s="23">
        <x:v>1</x:v>
      </x:c>
      <x:c r="E4" s="24">
        <x:v>3</x:v>
      </x:c>
      <x:c r="F4" s="24">
        <x:v>1</x:v>
      </x:c>
      <x:c r="G4" s="24">
        <x:v>0.2</x:v>
      </x:c>
      <x:c r="H4" s="24">
        <x:v>3</x:v>
      </x:c>
    </x:row>
    <x:row r="5" ht="15">
      <x:c r="A5" s="3">
        <x:v>3</x:v>
      </x:c>
      <x:c r="B5" s="5" t="s">
        <x:v>2</x:v>
      </x:c>
      <x:c r="C5" s="24">
        <x:v>0.2</x:v>
      </x:c>
      <x:c r="D5" s="24">
        <x:v>0.33333333333333331</x:v>
      </x:c>
      <x:c r="E5" s="23">
        <x:v>1</x:v>
      </x:c>
      <x:c r="F5" s="24">
        <x:v>0.33333333333333331</x:v>
      </x:c>
      <x:c r="G5" s="24">
        <x:v>0.14285714285714285</x:v>
      </x:c>
      <x:c r="H5" s="24">
        <x:v>0.33333333333333331</x:v>
      </x:c>
    </x:row>
    <x:row r="6" ht="15">
      <x:c r="A6" s="3">
        <x:v>4</x:v>
      </x:c>
      <x:c r="B6" s="5" t="s">
        <x:v>3</x:v>
      </x:c>
      <x:c r="C6" s="24">
        <x:v>0.33333333333333331</x:v>
      </x:c>
      <x:c r="D6" s="24">
        <x:v>1</x:v>
      </x:c>
      <x:c r="E6" s="24">
        <x:v>3</x:v>
      </x:c>
      <x:c r="F6" s="23">
        <x:v>1</x:v>
      </x:c>
      <x:c r="G6" s="24">
        <x:v>0.2</x:v>
      </x:c>
      <x:c r="H6" s="24">
        <x:v>3</x:v>
      </x:c>
      <x:c r="I6" s="22"/>
    </x:row>
    <x:row r="7" ht="15">
      <x:c r="A7" s="3">
        <x:v>5</x:v>
      </x:c>
      <x:c r="B7" s="5" t="s">
        <x:v>4</x:v>
      </x:c>
      <x:c r="C7" s="24">
        <x:v>5</x:v>
      </x:c>
      <x:c r="D7" s="24">
        <x:v>5</x:v>
      </x:c>
      <x:c r="E7" s="24">
        <x:v>7</x:v>
      </x:c>
      <x:c r="F7" s="24">
        <x:v>5</x:v>
      </x:c>
      <x:c r="G7" s="23">
        <x:v>1</x:v>
      </x:c>
      <x:c r="H7" s="24">
        <x:v>5</x:v>
      </x:c>
    </x:row>
    <x:row r="8" ht="15">
      <x:c r="A8" s="3">
        <x:v>6</x:v>
      </x:c>
      <x:c r="B8" s="5" t="s">
        <x:v>5</x:v>
      </x:c>
      <x:c r="C8" s="24">
        <x:v>0.2</x:v>
      </x:c>
      <x:c r="D8" s="24">
        <x:v>0.33333333333333331</x:v>
      </x:c>
      <x:c r="E8" s="24">
        <x:v>3</x:v>
      </x:c>
      <x:c r="F8" s="24">
        <x:v>0.33333333333333331</x:v>
      </x:c>
      <x:c r="G8" s="24">
        <x:v>0.2</x:v>
      </x:c>
      <x:c r="H8" s="23">
        <x:v>1</x:v>
      </x:c>
    </x:row>
    <x:row r="9">
      <x:c r="A9" s="7"/>
      <x:c r="B9" s="18" t="s">
        <x:v>6</x:v>
      </x:c>
      <x:c r="C9" s="19" t="n">
        <x:f t="shared" ref="C9:H9" si="0">SUM(C3:C8)</x:f>
        <x:v>7.066666666666666</x:v>
      </x:c>
      <x:c r="D9" s="19" t="n">
        <x:f t="shared" si="0">SUM(D3:D8)</x:f>
        <x:v>10.666666666666666</x:v>
      </x:c>
      <x:c r="E9" s="19" t="n">
        <x:f t="shared" si="0">SUM(E3:E8)</x:f>
        <x:v>22</x:v>
      </x:c>
      <x:c r="F9" s="19" t="n">
        <x:f t="shared" si="0">SUM(F3:F8)</x:f>
        <x:v>10.666666666666666</x:v>
      </x:c>
      <x:c r="G9" s="19" t="n">
        <x:f t="shared" si="0">SUM(G3:G8)</x:f>
        <x:v>1.9428571428571428</x:v>
      </x:c>
      <x:c r="H9" s="19" t="n">
        <x:f t="shared" si="0">SUM(H3:H8)</x:f>
        <x:v>17.333333333333336</x:v>
      </x:c>
    </x:row>
    <x:row r="10">
      <x:c r="B10" s="1"/>
    </x:row>
    <x:row r="12">
      <x:c r="B12" s="1">
        <x:v>1</x:v>
      </x:c>
      <x:c r="C12" s="1" t="s">
        <x:v>7</x:v>
      </x:c>
    </x:row>
    <x:row r="13">
      <x:c r="B13" s="1">
        <x:v>3</x:v>
      </x:c>
      <x:c r="C13" s="1" t="s">
        <x:v>8</x:v>
      </x:c>
      <x:c r="E13" s="8"/>
    </x:row>
    <x:row r="14">
      <x:c r="B14" s="1">
        <x:v>5</x:v>
      </x:c>
      <x:c r="C14" s="1" t="s">
        <x:v>9</x:v>
      </x:c>
    </x:row>
    <x:row r="15">
      <x:c r="B15" s="1">
        <x:v>7</x:v>
      </x:c>
      <x:c r="C15" s="1" t="s">
        <x:v>10</x:v>
      </x:c>
    </x:row>
    <x:row r="16">
      <x:c r="B16" s="1">
        <x:v>9</x:v>
      </x:c>
      <x:c r="C16" s="1" t="s">
        <x:v>11</x:v>
      </x:c>
    </x:row>
    <x:row r="17">
      <x:c r="B17" s="1"/>
      <x:c r="C17" s="1"/>
    </x:row>
    <x:row r="18">
      <x:c r="B18" s="1" t="s">
        <x:v>12</x:v>
      </x:c>
      <x:c r="C18" s="32" t="s">
        <x:v>13</x:v>
      </x:c>
      <x:c r="D18" s="32"/>
      <x:c r="E18" s="32"/>
      <x:c r="F18" s="32"/>
      <x:c r="G18" s="32"/>
      <x:c r="H18" s="32"/>
    </x:row>
    <x:row r="20">
      <x:c r="A20" s="2"/>
      <x:c r="B20" s="2"/>
      <x:c r="C20" s="3">
        <x:v>1</x:v>
      </x:c>
      <x:c r="D20" s="3">
        <x:v>2</x:v>
      </x:c>
      <x:c r="E20" s="3">
        <x:v>3</x:v>
      </x:c>
      <x:c r="F20" s="3">
        <x:v>4</x:v>
      </x:c>
      <x:c r="G20" s="3">
        <x:v>5</x:v>
      </x:c>
      <x:c r="H20" s="3">
        <x:v>6</x:v>
      </x:c>
    </x:row>
    <x:row r="21">
      <x:c r="A21" s="2"/>
      <x:c r="B21" s="2"/>
      <x:c r="C21" s="4" t="s">
        <x:v>0</x:v>
      </x:c>
      <x:c r="D21" s="4" t="s">
        <x:v>1</x:v>
      </x:c>
      <x:c r="E21" s="4" t="s">
        <x:v>2</x:v>
      </x:c>
      <x:c r="F21" s="4" t="s">
        <x:v>3</x:v>
      </x:c>
      <x:c r="G21" s="4" t="s">
        <x:v>4</x:v>
      </x:c>
      <x:c r="H21" s="4" t="s">
        <x:v>5</x:v>
      </x:c>
      <x:c r="I21" s="4" t="s">
        <x:v>14</x:v>
      </x:c>
    </x:row>
    <x:row r="22">
      <x:c r="A22" s="3">
        <x:v>1</x:v>
      </x:c>
      <x:c r="B22" s="5" t="s">
        <x:v>0</x:v>
      </x:c>
      <x:c r="C22" s="6" t="n">
        <x:f>C3/$C$9</x:f>
        <x:v>0.14150943396226415</x:v>
      </x:c>
      <x:c r="D22" s="6" t="n">
        <x:f>D3/$D$9</x:f>
        <x:v>0.28125</x:v>
      </x:c>
      <x:c r="E22" s="6" t="n">
        <x:f>E3/$E$9</x:f>
        <x:v>0.22727272727272727</x:v>
      </x:c>
      <x:c r="F22" s="6" t="n">
        <x:f>F3/$F$9</x:f>
        <x:v>0.28125</x:v>
      </x:c>
      <x:c r="G22" s="6" t="n">
        <x:f>G3/$G$9</x:f>
        <x:v>0.10294117647058824</x:v>
      </x:c>
      <x:c r="H22" s="6" t="n">
        <x:f>H3/$H$9</x:f>
        <x:v>0.28846153846153844</x:v>
      </x:c>
      <x:c r="I22" s="10" t="n">
        <x:f t="shared" ref="I22:I27" si="1">AVERAGE(C22:H22)</x:f>
        <x:v>0.22044747936118636</x:v>
      </x:c>
    </x:row>
    <x:row r="23">
      <x:c r="A23" s="3">
        <x:v>2</x:v>
      </x:c>
      <x:c r="B23" s="5" t="s">
        <x:v>1</x:v>
      </x:c>
      <x:c r="C23" s="6" t="n">
        <x:f t="shared" ref="C23:C27" si="2">C4/$C$9</x:f>
        <x:v>0.04716981132075471</x:v>
      </x:c>
      <x:c r="D23" s="6" t="n">
        <x:f t="shared" ref="D23:D27" si="3">D4/$D$9</x:f>
        <x:v>0.09375</x:v>
      </x:c>
      <x:c r="E23" s="6" t="n">
        <x:f t="shared" ref="E23:E27" si="4">E4/$E$9</x:f>
        <x:v>0.13636363636363635</x:v>
      </x:c>
      <x:c r="F23" s="6" t="n">
        <x:f t="shared" ref="F23:F27" si="5">F4/$F$9</x:f>
        <x:v>0.09375</x:v>
      </x:c>
      <x:c r="G23" s="6" t="n">
        <x:f t="shared" ref="G23:G27" si="6">G4/$G$9</x:f>
        <x:v>0.10294117647058824</x:v>
      </x:c>
      <x:c r="H23" s="6" t="n">
        <x:f t="shared" ref="H23:H27" si="7">H4/$H$9</x:f>
        <x:v>0.17307692307692304</x:v>
      </x:c>
      <x:c r="I23" s="10" t="n">
        <x:f t="shared" si="1">AVERAGE(C23:H23)</x:f>
        <x:v>0.1078419245386504</x:v>
      </x:c>
    </x:row>
    <x:row r="24">
      <x:c r="A24" s="3">
        <x:v>3</x:v>
      </x:c>
      <x:c r="B24" s="5" t="s">
        <x:v>2</x:v>
      </x:c>
      <x:c r="C24" s="6" t="n">
        <x:f t="shared" si="2">C5/$C$9</x:f>
        <x:v>0.028301886792452834</x:v>
      </x:c>
      <x:c r="D24" s="6" t="n">
        <x:f t="shared" si="3">D5/$D$9</x:f>
        <x:v>0.03125</x:v>
      </x:c>
      <x:c r="E24" s="6" t="n">
        <x:f t="shared" si="4">E5/$E$9</x:f>
        <x:v>0.045454545454545456</x:v>
      </x:c>
      <x:c r="F24" s="6" t="n">
        <x:f t="shared" si="5">F5/$F$9</x:f>
        <x:v>0.03125</x:v>
      </x:c>
      <x:c r="G24" s="6" t="n">
        <x:f t="shared" si="6">G5/$G$9</x:f>
        <x:v>0.07352941176470588</x:v>
      </x:c>
      <x:c r="H24" s="6" t="n">
        <x:f t="shared" si="7">H5/$H$9</x:f>
        <x:v>0.01923076923076923</x:v>
      </x:c>
      <x:c r="I24" s="10" t="n">
        <x:f t="shared" si="1">AVERAGE(C24:H24)</x:f>
        <x:v>0.03816943554041224</x:v>
      </x:c>
    </x:row>
    <x:row r="25">
      <x:c r="A25" s="3">
        <x:v>4</x:v>
      </x:c>
      <x:c r="B25" s="5" t="s">
        <x:v>3</x:v>
      </x:c>
      <x:c r="C25" s="6" t="n">
        <x:f t="shared" si="2">C6/$C$9</x:f>
        <x:v>0.04716981132075471</x:v>
      </x:c>
      <x:c r="D25" s="6" t="n">
        <x:f t="shared" si="3">D6/$D$9</x:f>
        <x:v>0.09375</x:v>
      </x:c>
      <x:c r="E25" s="6" t="n">
        <x:f t="shared" si="4">E6/$E$9</x:f>
        <x:v>0.13636363636363635</x:v>
      </x:c>
      <x:c r="F25" s="6" t="n">
        <x:f t="shared" si="5">F6/$F$9</x:f>
        <x:v>0.09375</x:v>
      </x:c>
      <x:c r="G25" s="6" t="n">
        <x:f t="shared" si="6">G6/$G$9</x:f>
        <x:v>0.10294117647058824</x:v>
      </x:c>
      <x:c r="H25" s="6" t="n">
        <x:f t="shared" si="7">H6/$H$9</x:f>
        <x:v>0.17307692307692304</x:v>
      </x:c>
      <x:c r="I25" s="10" t="n">
        <x:f t="shared" si="1">AVERAGE(C25:H25)</x:f>
        <x:v>0.1078419245386504</x:v>
      </x:c>
    </x:row>
    <x:row r="26">
      <x:c r="A26" s="3">
        <x:v>5</x:v>
      </x:c>
      <x:c r="B26" s="5" t="s">
        <x:v>4</x:v>
      </x:c>
      <x:c r="C26" s="6" t="n">
        <x:f t="shared" si="2">C7/$C$9</x:f>
        <x:v>0.7075471698113208</x:v>
      </x:c>
      <x:c r="D26" s="6" t="n">
        <x:f t="shared" si="3">D7/$D$9</x:f>
        <x:v>0.46875</x:v>
      </x:c>
      <x:c r="E26" s="6" t="n">
        <x:f t="shared" si="4">E7/$E$9</x:f>
        <x:v>0.3181818181818182</x:v>
      </x:c>
      <x:c r="F26" s="6" t="n">
        <x:f t="shared" si="5">F7/$F$9</x:f>
        <x:v>0.46875</x:v>
      </x:c>
      <x:c r="G26" s="6" t="n">
        <x:f t="shared" si="6">G7/$G$9</x:f>
        <x:v>0.5147058823529412</x:v>
      </x:c>
      <x:c r="H26" s="6" t="n">
        <x:f t="shared" si="7">H7/$H$9</x:f>
        <x:v>0.28846153846153844</x:v>
      </x:c>
      <x:c r="I26" s="10" t="n">
        <x:f t="shared" si="1">AVERAGE(C26:H26)</x:f>
        <x:v>0.4610660681346031</x:v>
      </x:c>
    </x:row>
    <x:row r="27">
      <x:c r="A27" s="3">
        <x:v>6</x:v>
      </x:c>
      <x:c r="B27" s="5" t="s">
        <x:v>5</x:v>
      </x:c>
      <x:c r="C27" s="6" t="n">
        <x:f t="shared" si="2">C8/$C$9</x:f>
        <x:v>0.028301886792452834</x:v>
      </x:c>
      <x:c r="D27" s="6" t="n">
        <x:f t="shared" si="3">D8/$D$9</x:f>
        <x:v>0.03125</x:v>
      </x:c>
      <x:c r="E27" s="6" t="n">
        <x:f t="shared" si="4">E8/$E$9</x:f>
        <x:v>0.13636363636363635</x:v>
      </x:c>
      <x:c r="F27" s="6" t="n">
        <x:f t="shared" si="5">F8/$F$9</x:f>
        <x:v>0.03125</x:v>
      </x:c>
      <x:c r="G27" s="6" t="n">
        <x:f t="shared" si="6">G8/$G$9</x:f>
        <x:v>0.10294117647058824</x:v>
      </x:c>
      <x:c r="H27" s="6" t="n">
        <x:f t="shared" si="7">H8/$H$9</x:f>
        <x:v>0.05769230769230768</x:v>
      </x:c>
      <x:c r="I27" s="10" t="n">
        <x:f t="shared" si="1">AVERAGE(C27:H27)</x:f>
        <x:v>0.06463316788649752</x:v>
      </x:c>
    </x:row>
    <x:row r="28">
      <x:c r="B28" s="25" t="s">
        <x:v>6</x:v>
      </x:c>
      <x:c r="C28" s="26" t="n">
        <x:f t="shared" ref="C28:I28" si="8">SUM(C22:C27)</x:f>
        <x:v>1.0000000000000002</x:v>
      </x:c>
      <x:c r="D28" s="26" t="n">
        <x:f t="shared" si="8">SUM(D22:D27)</x:f>
        <x:v>1</x:v>
      </x:c>
      <x:c r="E28" s="26" t="n">
        <x:f t="shared" si="8">SUM(E22:E27)</x:f>
        <x:v>0.9999999999999999</x:v>
      </x:c>
      <x:c r="F28" s="26" t="n">
        <x:f t="shared" si="8">SUM(F22:F27)</x:f>
        <x:v>1</x:v>
      </x:c>
      <x:c r="G28" s="26" t="n">
        <x:f t="shared" si="8">SUM(G22:G27)</x:f>
        <x:v>1.0000000000000002</x:v>
      </x:c>
      <x:c r="H28" s="26" t="n">
        <x:f t="shared" si="8">SUM(H22:H27)</x:f>
        <x:v>0.9999999999999999</x:v>
      </x:c>
      <x:c r="I28" s="26" t="n">
        <x:f t="shared" si="8">SUM(I22:I27)</x:f>
        <x:v>1</x:v>
      </x:c>
    </x:row>
    <x:row r="30" ht="24" customHeight="1">
      <x:c r="A30" s="2"/>
      <x:c r="B30" s="2"/>
      <x:c r="C30" s="3">
        <x:v>1</x:v>
      </x:c>
      <x:c r="D30" s="3">
        <x:v>2</x:v>
      </x:c>
      <x:c r="E30" s="3">
        <x:v>3</x:v>
      </x:c>
      <x:c r="F30" s="3">
        <x:v>4</x:v>
      </x:c>
      <x:c r="G30" s="3">
        <x:v>5</x:v>
      </x:c>
      <x:c r="H30" s="3">
        <x:v>6</x:v>
      </x:c>
      <x:c r="I30" s="29" t="s">
        <x:v>15</x:v>
      </x:c>
      <x:c r="K30" s="30" t="s">
        <x:v>16</x:v>
      </x:c>
    </x:row>
    <x:row r="31" ht="15">
      <x:c r="A31" s="2"/>
      <x:c r="B31" s="2"/>
      <x:c r="C31" s="4" t="s">
        <x:v>0</x:v>
      </x:c>
      <x:c r="D31" s="4" t="s">
        <x:v>1</x:v>
      </x:c>
      <x:c r="E31" s="4" t="s">
        <x:v>2</x:v>
      </x:c>
      <x:c r="F31" s="4" t="s">
        <x:v>3</x:v>
      </x:c>
      <x:c r="G31" s="4" t="s">
        <x:v>4</x:v>
      </x:c>
      <x:c r="H31" s="4" t="s">
        <x:v>5</x:v>
      </x:c>
      <x:c r="I31" s="29"/>
      <x:c r="J31" s="27" t="s">
        <x:v>17</x:v>
      </x:c>
      <x:c r="K31" s="31"/>
    </x:row>
    <x:row r="32" ht="15">
      <x:c r="A32" s="3">
        <x:v>1</x:v>
      </x:c>
      <x:c r="B32" s="5" t="s">
        <x:v>0</x:v>
      </x:c>
      <x:c r="C32" s="6" t="n">
        <x:f t="shared" ref="C32:C37" si="9">C3*$I$22</x:f>
        <x:v>0.22044747936118636</x:v>
      </x:c>
      <x:c r="D32" s="6" t="n">
        <x:f t="shared" ref="D32:D37" si="10">D3*$I$23</x:f>
        <x:v>0.3235257736159512</x:v>
      </x:c>
      <x:c r="E32" s="6" t="n">
        <x:f t="shared" ref="E32:E37" si="11">E3*$I$24</x:f>
        <x:v>0.1908471777020612</x:v>
      </x:c>
      <x:c r="F32" s="6" t="n">
        <x:f t="shared" ref="F32:F37" si="12">F3*$I$25</x:f>
        <x:v>0.3235257736159512</x:v>
      </x:c>
      <x:c r="G32" s="6" t="n">
        <x:f t="shared" ref="G32:G37" si="13">G3*$I$26</x:f>
        <x:v>0.09221321362692063</x:v>
      </x:c>
      <x:c r="H32" s="6" t="n">
        <x:f t="shared" ref="H32:H37" si="14">H3*$I$27</x:f>
        <x:v>0.3231658394324876</x:v>
      </x:c>
      <x:c r="I32" s="9" t="n">
        <x:f t="shared" ref="I32:I37" si="15">SUM(C32:H32)</x:f>
        <x:v>1.4737252573545583</x:v>
      </x:c>
      <x:c r="J32" s="21" t="n">
        <x:f t="shared" ref="J32:J37" si="16">I22</x:f>
        <x:v>0.22044747936118636</x:v>
      </x:c>
      <x:c r="K32" s="20" t="n">
        <x:f>I32/J32</x:f>
        <x:v>6.6851535868095455</x:v>
      </x:c>
    </x:row>
    <x:row r="33" ht="15">
      <x:c r="A33" s="3">
        <x:v>2</x:v>
      </x:c>
      <x:c r="B33" s="5" t="s">
        <x:v>1</x:v>
      </x:c>
      <x:c r="C33" s="6" t="n">
        <x:f t="shared" si="9">C4*$I$22</x:f>
        <x:v>0.07348249312039545</x:v>
      </x:c>
      <x:c r="D33" s="6" t="n">
        <x:f t="shared" si="10">D4*$I$23</x:f>
        <x:v>0.1078419245386504</x:v>
      </x:c>
      <x:c r="E33" s="6" t="n">
        <x:f t="shared" si="11">E4*$I$24</x:f>
        <x:v>0.1145083066212367</x:v>
      </x:c>
      <x:c r="F33" s="6" t="n">
        <x:f t="shared" si="12">F4*$I$25</x:f>
        <x:v>0.1078419245386504</x:v>
      </x:c>
      <x:c r="G33" s="6" t="n">
        <x:f t="shared" si="13">G4*$I$26</x:f>
        <x:v>0.09221321362692063</x:v>
      </x:c>
      <x:c r="H33" s="6" t="n">
        <x:f t="shared" si="14">H4*$I$27</x:f>
        <x:v>0.19389950365949254</x:v>
      </x:c>
      <x:c r="I33" s="9" t="n">
        <x:f t="shared" si="15">SUM(C33:H33)</x:f>
        <x:v>0.6897873661053461</x:v>
      </x:c>
      <x:c r="J33" s="21" t="n">
        <x:f t="shared" si="16">I23</x:f>
        <x:v>0.1078419245386504</x:v>
      </x:c>
      <x:c r="K33" s="20" t="n">
        <x:f t="shared" ref="K33:K37" si="17">I33/J33</x:f>
        <x:v>6.396282049455889</x:v>
      </x:c>
    </x:row>
    <x:row r="34" ht="15">
      <x:c r="A34" s="3">
        <x:v>3</x:v>
      </x:c>
      <x:c r="B34" s="5" t="s">
        <x:v>2</x:v>
      </x:c>
      <x:c r="C34" s="6" t="n">
        <x:f t="shared" si="9">C5*$I$22</x:f>
        <x:v>0.044089495872237275</x:v>
      </x:c>
      <x:c r="D34" s="6" t="n">
        <x:f t="shared" si="10">D5*$I$23</x:f>
        <x:v>0.03594730817955013</x:v>
      </x:c>
      <x:c r="E34" s="6" t="n">
        <x:f t="shared" si="11">E5*$I$24</x:f>
        <x:v>0.03816943554041224</x:v>
      </x:c>
      <x:c r="F34" s="6" t="n">
        <x:f t="shared" si="12">F5*$I$25</x:f>
        <x:v>0.03594730817955013</x:v>
      </x:c>
      <x:c r="G34" s="6" t="n">
        <x:f t="shared" si="13">G5*$I$26</x:f>
        <x:v>0.06586658116208616</x:v>
      </x:c>
      <x:c r="H34" s="6" t="n">
        <x:f t="shared" si="14">H5*$I$27</x:f>
        <x:v>0.02154438929549917</x:v>
      </x:c>
      <x:c r="I34" s="9" t="n">
        <x:f t="shared" si="15">SUM(C34:H34)</x:f>
        <x:v>0.2415645182293351</x:v>
      </x:c>
      <x:c r="J34" s="21" t="n">
        <x:f t="shared" si="16">I24</x:f>
        <x:v>0.03816943554041224</x:v>
      </x:c>
      <x:c r="K34" s="20" t="n">
        <x:f t="shared" si="17">I34/J34</x:f>
        <x:v>6.328742220292372</x:v>
      </x:c>
    </x:row>
    <x:row r="35" ht="15">
      <x:c r="A35" s="3">
        <x:v>4</x:v>
      </x:c>
      <x:c r="B35" s="5" t="s">
        <x:v>3</x:v>
      </x:c>
      <x:c r="C35" s="6" t="n">
        <x:f t="shared" si="9">C6*$I$22</x:f>
        <x:v>0.07348249312039545</x:v>
      </x:c>
      <x:c r="D35" s="6" t="n">
        <x:f t="shared" si="10">D6*$I$23</x:f>
        <x:v>0.1078419245386504</x:v>
      </x:c>
      <x:c r="E35" s="6" t="n">
        <x:f t="shared" si="11">E6*$I$24</x:f>
        <x:v>0.1145083066212367</x:v>
      </x:c>
      <x:c r="F35" s="6" t="n">
        <x:f t="shared" si="12">F6*$I$25</x:f>
        <x:v>0.1078419245386504</x:v>
      </x:c>
      <x:c r="G35" s="6" t="n">
        <x:f t="shared" si="13">G6*$I$26</x:f>
        <x:v>0.09221321362692063</x:v>
      </x:c>
      <x:c r="H35" s="6" t="n">
        <x:f t="shared" si="14">H6*$I$27</x:f>
        <x:v>0.19389950365949254</x:v>
      </x:c>
      <x:c r="I35" s="9" t="n">
        <x:f t="shared" si="15">SUM(C35:H35)</x:f>
        <x:v>0.6897873661053461</x:v>
      </x:c>
      <x:c r="J35" s="21" t="n">
        <x:f t="shared" si="16">I25</x:f>
        <x:v>0.1078419245386504</x:v>
      </x:c>
      <x:c r="K35" s="20" t="n">
        <x:f t="shared" si="17">I35/J35</x:f>
        <x:v>6.396282049455889</x:v>
      </x:c>
    </x:row>
    <x:row r="36" ht="15">
      <x:c r="A36" s="3">
        <x:v>5</x:v>
      </x:c>
      <x:c r="B36" s="5" t="s">
        <x:v>4</x:v>
      </x:c>
      <x:c r="C36" s="6" t="n">
        <x:f t="shared" si="9">C7*$I$22</x:f>
        <x:v>1.1022373968059318</x:v>
      </x:c>
      <x:c r="D36" s="6" t="n">
        <x:f t="shared" si="10">D7*$I$23</x:f>
        <x:v>0.539209622693252</x:v>
      </x:c>
      <x:c r="E36" s="6" t="n">
        <x:f t="shared" si="11">E7*$I$24</x:f>
        <x:v>0.26718604878288565</x:v>
      </x:c>
      <x:c r="F36" s="6" t="n">
        <x:f t="shared" si="12">F7*$I$25</x:f>
        <x:v>0.539209622693252</x:v>
      </x:c>
      <x:c r="G36" s="6" t="n">
        <x:f t="shared" si="13">G7*$I$26</x:f>
        <x:v>0.4610660681346031</x:v>
      </x:c>
      <x:c r="H36" s="6" t="n">
        <x:f t="shared" si="14">H7*$I$27</x:f>
        <x:v>0.3231658394324876</x:v>
      </x:c>
      <x:c r="I36" s="9" t="n">
        <x:f t="shared" si="15">SUM(C36:H36)</x:f>
        <x:v>3.232074598542412</x:v>
      </x:c>
      <x:c r="J36" s="21" t="n">
        <x:f t="shared" si="16">I26</x:f>
        <x:v>0.4610660681346031</x:v>
      </x:c>
      <x:c r="K36" s="20" t="n">
        <x:f t="shared" si="17">I36/J36</x:f>
        <x:v>7.010003168567251</x:v>
      </x:c>
    </x:row>
    <x:row r="37" ht="15">
      <x:c r="A37" s="3">
        <x:v>6</x:v>
      </x:c>
      <x:c r="B37" s="5" t="s">
        <x:v>5</x:v>
      </x:c>
      <x:c r="C37" s="6" t="n">
        <x:f t="shared" si="9">C8*$I$22</x:f>
        <x:v>0.044089495872237275</x:v>
      </x:c>
      <x:c r="D37" s="6" t="n">
        <x:f t="shared" si="10">D8*$I$23</x:f>
        <x:v>0.03594730817955013</x:v>
      </x:c>
      <x:c r="E37" s="6" t="n">
        <x:f t="shared" si="11">E8*$I$24</x:f>
        <x:v>0.1145083066212367</x:v>
      </x:c>
      <x:c r="F37" s="6" t="n">
        <x:f t="shared" si="12">F8*$I$25</x:f>
        <x:v>0.03594730817955013</x:v>
      </x:c>
      <x:c r="G37" s="6" t="n">
        <x:f t="shared" si="13">G8*$I$26</x:f>
        <x:v>0.09221321362692063</x:v>
      </x:c>
      <x:c r="H37" s="6" t="n">
        <x:f t="shared" si="14">H8*$I$27</x:f>
        <x:v>0.06463316788649752</x:v>
      </x:c>
      <x:c r="I37" s="9" t="n">
        <x:f t="shared" si="15">SUM(C37:H37)</x:f>
        <x:v>0.3873388003659924</x:v>
      </x:c>
      <x:c r="J37" s="21" t="n">
        <x:f t="shared" si="16">I27</x:f>
        <x:v>0.06463316788649752</x:v>
      </x:c>
      <x:c r="K37" s="20" t="n">
        <x:f t="shared" si="17">I37/J37</x:f>
        <x:v>5.992879709164172</x:v>
      </x:c>
    </x:row>
    <x:row r="38" ht="15">
      <x:c r="J38" s="13" t="s">
        <x:v>18</x:v>
      </x:c>
      <x:c r="K38" s="14" t="n">
        <x:f>AVERAGE(K32:K37)</x:f>
        <x:v>6.468223797290854</x:v>
      </x:c>
    </x:row>
    <x:row r="40">
      <x:c r="B40" s="16" t="s">
        <x:v>19</x:v>
      </x:c>
      <x:c r="D40" s="12" t="s">
        <x:v>20</x:v>
      </x:c>
    </x:row>
    <x:row r="42">
      <x:c r="C42" t="s">
        <x:v>18</x:v>
      </x:c>
      <x:c r="D42" s="11" t="n">
        <x:f>K38</x:f>
        <x:v>6.468223797290854</x:v>
      </x:c>
    </x:row>
    <x:row r="44">
      <x:c r="C44" s="16" t="s">
        <x:v>21</x:v>
      </x:c>
      <x:c r="D44" s="15" t="n">
        <x:f>(D42-6)/(6-1)</x:f>
        <x:v>0.09364475945817077</x:v>
      </x:c>
    </x:row>
    <x:row r="47">
      <x:c r="B47" s="16" t="s">
        <x:v>22</x:v>
      </x:c>
    </x:row>
    <x:row r="48">
      <x:c r="B48" t="s">
        <x:v>23</x:v>
      </x:c>
      <x:c r="C48">
        <x:v>1.24</x:v>
      </x:c>
    </x:row>
    <x:row r="50">
      <x:c r="B50" s="16" t="s">
        <x:v>24</x:v>
      </x:c>
      <x:c r="C50" t="s">
        <x:v>25</x:v>
      </x:c>
      <x:c r="D50" t="n">
        <x:f>D44/C48</x:f>
        <x:v>0.07551996730497643</x:v>
      </x:c>
    </x:row>
    <x:row r="52" ht="28.799999237060547">
      <x:c r="B52" s="28" t="s">
        <x:v>26</x:v>
      </x:c>
      <x:c r="C52" s="17" t="s">
        <x:v>27</x:v>
      </x:c>
    </x:row>
  </x:sheetData>
  <x:mergeCells>
    <x:mergeCell ref="I30:I31"/>
    <x:mergeCell ref="K30:K31"/>
    <x:mergeCell ref="C18:H18"/>
  </x:mergeCells>
  <x:pageMargins left="0.7" right="0.7" top="0.75" bottom="0.75" header="0.3" footer="0.3"/>
</x:worksheet>
</file>